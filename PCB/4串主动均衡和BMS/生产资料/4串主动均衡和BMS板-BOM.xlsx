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Union-Projects\DFEx_GT-X2\PCB\归档完毕\4串主动均衡和BMS\生产资料\"/>
    </mc:Choice>
  </mc:AlternateContent>
  <bookViews>
    <workbookView windowWidth="29868" windowHeight="15420"/>
  </bookViews>
  <sheets>
    <sheet name="4串主动均衡和BMS板-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<sst xmlns="http://schemas.openxmlformats.org/spreadsheetml/2006/main" count="144" uniqueCount="112">
  <si>
    <r>
      <rPr>
        <sz val="14"/>
        <color rgb="FF000000"/>
        <rFont val="宋体"/>
        <charset val="134"/>
      </rPr>
      <t>料号</t>
    </r>
    <r>
      <rPr>
        <sz val="14"/>
        <color rgb="FF000000"/>
        <rFont val="Segoe UI"/>
        <charset val="134"/>
      </rPr>
      <t>/</t>
    </r>
    <r>
      <rPr>
        <sz val="14"/>
        <color rgb="FF000000"/>
        <rFont val="宋体"/>
        <charset val="134"/>
      </rPr>
      <t>规格</t>
    </r>
  </si>
  <si>
    <t>描述</t>
  </si>
  <si>
    <t>位号</t>
  </si>
  <si>
    <t>封装</t>
  </si>
  <si>
    <t>数量</t>
  </si>
  <si>
    <t>参考图片/备注</t>
  </si>
  <si>
    <t>单价</t>
  </si>
  <si>
    <t>总价</t>
  </si>
  <si>
    <t>100nF (104) 10% 50V</t>
  </si>
  <si>
    <t>贴片电容</t>
  </si>
  <si>
    <t>C1, C2, C5, C8, 
C13, C14, C15, C16, C22, C23, C24, C25, C27,C28</t>
  </si>
  <si>
    <t>0402_C</t>
  </si>
  <si>
    <t>GRM21BR61A476ME15L</t>
  </si>
  <si>
    <t>贴片MLCC电容，47uF (476) 20% 10V</t>
  </si>
  <si>
    <t>C3, C4, C6, C7, 
C9, C10, C11, C12</t>
  </si>
  <si>
    <t>0805_C</t>
  </si>
  <si>
    <t>1.0uF (105) 10% 25V</t>
  </si>
  <si>
    <t>C18, C19</t>
  </si>
  <si>
    <t>GRM188R61E106KA73D</t>
  </si>
  <si>
    <t>0603贴片MLCC电容 10uF ±20% 25V X5R</t>
  </si>
  <si>
    <t>C17, C20</t>
  </si>
  <si>
    <t>0603_C</t>
  </si>
  <si>
    <t>10uF (106) 20% 10V</t>
  </si>
  <si>
    <t>C21</t>
  </si>
  <si>
    <t>10nF (103) 10% 50V</t>
  </si>
  <si>
    <t>C26</t>
  </si>
  <si>
    <t>B5819WS S4</t>
  </si>
  <si>
    <t>二极管</t>
  </si>
  <si>
    <t>D1</t>
  </si>
  <si>
    <t>SOD-323</t>
  </si>
  <si>
    <t>1N4148WS T4</t>
  </si>
  <si>
    <t>D2, D3, D4, D5</t>
  </si>
  <si>
    <t>ZSRG-1608C-06-Z4</t>
  </si>
  <si>
    <t>发光二极管 红绿无级双色</t>
  </si>
  <si>
    <t>D6</t>
  </si>
  <si>
    <t>0603_LED_S1</t>
  </si>
  <si>
    <t>CMS8S-JTAG-TP-1.27mm</t>
  </si>
  <si>
    <t>面向CMS8S6990NA单片机的调试贴片触点，
并不是元器件实物</t>
  </si>
  <si>
    <t>J1</t>
  </si>
  <si>
    <t>CMS8S-JTAG-TP-1.27</t>
  </si>
  <si>
    <t>这个元器件不需要贴片</t>
  </si>
  <si>
    <t>AFC01-S08FCA-00</t>
  </si>
  <si>
    <t>翻盖式下接FPC/FFC连接器 P数:8P 间距:0.5mm</t>
  </si>
  <si>
    <t>P1</t>
  </si>
  <si>
    <t>FPC0.5 2H-WS-8P</t>
  </si>
  <si>
    <t>XPX30K03RX</t>
  </si>
  <si>
    <t>双P沟道MOSFET, DFN3x3 -20V -30A 12mΩ</t>
  </si>
  <si>
    <t>Q1, Q4, Q7, Q10</t>
  </si>
  <si>
    <t>EDFN3x3</t>
  </si>
  <si>
    <t>2N7002KW</t>
  </si>
  <si>
    <t>单N沟道MOSFET(场效应管)</t>
  </si>
  <si>
    <t>Q2, Q5, Q8, Q11,
 Q13</t>
  </si>
  <si>
    <t>SC70-3</t>
  </si>
  <si>
    <t>XPX4896RX</t>
  </si>
  <si>
    <t>双N沟道MOSFET, DFN3x3 40V 45A 7.2mΩ</t>
  </si>
  <si>
    <t>Q3, Q6, Q9, Q12</t>
  </si>
  <si>
    <t>510KΩ (5103) ±1%</t>
  </si>
  <si>
    <t>贴片电阻</t>
  </si>
  <si>
    <t>R1, R2, R5, R6, R9,
 R10, R11, R12</t>
  </si>
  <si>
    <t>0402_R</t>
  </si>
  <si>
    <t>10KΩ (1002) ±1%</t>
  </si>
  <si>
    <t>R3, R4, R7, R8, 
R13, R14, R15, R16, R27, R34, R35, R36, R37, R40</t>
  </si>
  <si>
    <t>10Ω (10R0) ±1%</t>
  </si>
  <si>
    <t>R17</t>
  </si>
  <si>
    <t>110KΩ (1103) ±1%</t>
  </si>
  <si>
    <t>R18</t>
  </si>
  <si>
    <t>12KΩ (1202) ±1%</t>
  </si>
  <si>
    <t>R19</t>
  </si>
  <si>
    <t>0Ω (0R0) ±1%</t>
  </si>
  <si>
    <t>R20, R21</t>
  </si>
  <si>
    <t>51Ω (51R0) ±1%</t>
  </si>
  <si>
    <t>R22</t>
  </si>
  <si>
    <t>0603_R</t>
  </si>
  <si>
    <t>1KΩ (1001) ±1%</t>
  </si>
  <si>
    <t>R23, R24, R25, 
R26, R39, R41, R42</t>
  </si>
  <si>
    <t>100Ω (1000) ±1%</t>
  </si>
  <si>
    <t>R28</t>
  </si>
  <si>
    <t>100KΩ (1003) ±1%</t>
  </si>
  <si>
    <t>R29, R30</t>
  </si>
  <si>
    <t>1MΩ (1004) ±1%</t>
  </si>
  <si>
    <t>R31</t>
  </si>
  <si>
    <t>5.1KΩ (5101) ±1%</t>
  </si>
  <si>
    <t>R32, R33, R43</t>
  </si>
  <si>
    <t>2.43KΩ (2431) ±1%</t>
  </si>
  <si>
    <t>R38</t>
  </si>
  <si>
    <t>ER14.5</t>
  </si>
  <si>
    <t>ER14.5骨架的定制均衡专用的多绕组变压器，PC40磁芯材质（详细制造信息请参考项目生产资料文件内的变压器图纸）</t>
  </si>
  <si>
    <t>TF1</t>
  </si>
  <si>
    <t>ER14.5 SMT6+6</t>
  </si>
  <si>
    <t>MPQ2013AGQ-AEC1</t>
  </si>
  <si>
    <t>MPS 40V LDO with Enable pin QFN3x3 
package</t>
  </si>
  <si>
    <t>U1</t>
  </si>
  <si>
    <t>MPQ2013A-QFN8</t>
  </si>
  <si>
    <t>UCC27526DSDR</t>
  </si>
  <si>
    <t>双路18V 5A峰值电流低侧栅极驱动器，
WSON-8封装尺寸</t>
  </si>
  <si>
    <t>U2</t>
  </si>
  <si>
    <t>DSD0008D</t>
  </si>
  <si>
    <t>这玩意淘宝容易买到假的
丝印一洗就掉虽然能用但是不稳定。建议去立创买。</t>
  </si>
  <si>
    <t>SH367303</t>
  </si>
  <si>
    <t>3至5串锂离子电池BMS模拟前端，
具备充放电控制/电压采集和I2C接口</t>
  </si>
  <si>
    <t>U3</t>
  </si>
  <si>
    <t>QFN28-5x5</t>
  </si>
  <si>
    <t>CMS8S6990NAQN20</t>
  </si>
  <si>
    <t>增强型闪存1T 8051单片机，16KB Flash 
256+1K XRAM</t>
  </si>
  <si>
    <t>U4</t>
  </si>
  <si>
    <t>QFN40P300X300X800_HS-21N</t>
  </si>
  <si>
    <t>TLP291(GB-TP,SE</t>
  </si>
  <si>
    <t>DC输入光电耦合隔离器，线性输入输出，
隔离电压(rms):3750V SOP-4小型封装</t>
  </si>
  <si>
    <t>U6, U7</t>
  </si>
  <si>
    <t>TSOP-4_P1.27</t>
  </si>
  <si>
    <t>均衡和BMS板物料总价</t>
  </si>
  <si>
    <t>均衡和BMS板元器件总数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</si>
</sst>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rgb="FF000000"/>
      <name val="微软雅黑"/>
      <charset val="134"/>
    </font>
    <font>
      <sz val="16"/>
      <color theme="1"/>
      <name val="宋体"/>
      <charset val="134"/>
      <scheme val="minor"/>
    </font>
    <font>
      <sz val="14"/>
      <color rgb="FF000000"/>
      <name val="Segoe UI"/>
      <charset val="134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quotePrefix="1">
      <alignment horizontal="center" vertical="center"/>
    </xf>
    <xf numFmtId="0" fontId="2" fillId="0" borderId="1" xfId="0" applyFont="1" applyBorder="1" quotePrefix="1">
      <alignment vertical="center"/>
    </xf>
    <xf numFmtId="0" fontId="2" fillId="0" borderId="1" xfId="0" applyFont="1" applyBorder="1" applyAlignment="1" quotePrefix="1">
      <alignment vertical="center" wrapText="1"/>
    </xf>
    <xf numFmtId="0" fontId="2" fillId="3" borderId="1" xfId="0" applyFont="1" applyFill="1" applyBorder="1" quotePrefix="1">
      <alignment vertical="center"/>
    </xf>
    <xf numFmtId="0" fontId="2" fillId="3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106680</xdr:colOff>
      <xdr:row>28</xdr:row>
      <xdr:rowOff>114300</xdr:rowOff>
    </xdr:from>
    <xdr:to>
      <xdr:col>5</xdr:col>
      <xdr:colOff>2034540</xdr:colOff>
      <xdr:row>28</xdr:row>
      <xdr:rowOff>2240280</xdr:rowOff>
    </xdr:to>
    <xdr:pic>
      <xdr:nvPicPr>
        <xdr:cNvPr id="3" name="ID_9A8E838A2C43479BAF2DCBC574FBBB3D" descr="变压器样品照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87100" y="10126980"/>
          <a:ext cx="1927860" cy="2125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A1" sqref="A1:H1"/>
    </sheetView>
  </sheetViews>
  <sheetFormatPr defaultColWidth="8.88888888888889" defaultRowHeight="14.4" outlineLevelCol="7"/>
  <cols>
    <col min="1" max="1" width="33.5555555555556" customWidth="1"/>
    <col min="2" max="2" width="55.1111111111111" customWidth="1"/>
    <col min="3" max="3" width="23" customWidth="1"/>
    <col min="4" max="4" width="27.3333333333333" customWidth="1"/>
    <col min="5" max="5" width="21.1111111111111" customWidth="1"/>
    <col min="6" max="6" width="31.1111111111111" customWidth="1"/>
    <col min="7" max="7" width="10.5555555555556"/>
  </cols>
  <sheetData>
    <row r="1" ht="20.4" spans="1:8">
      <c r="A1" s="10" t="s">
        <v>0</v>
      </c>
      <c r="B1" s="1" t="s">
        <v>1</v>
      </c>
      <c r="C1" s="10" t="s">
        <v>2</v>
      </c>
      <c r="D1" s="10" t="s">
        <v>3</v>
      </c>
      <c r="E1" s="10" t="s">
        <v>4</v>
      </c>
      <c r="F1" s="1" t="s">
        <v>5</v>
      </c>
      <c r="G1" s="1" t="s">
        <v>6</v>
      </c>
      <c r="H1" s="1" t="s">
        <v>7</v>
      </c>
    </row>
    <row r="2" ht="76.8" spans="1:8">
      <c r="A2" s="11" t="s">
        <v>8</v>
      </c>
      <c r="B2" s="11" t="s">
        <v>9</v>
      </c>
      <c r="C2" s="12" t="s">
        <v>10</v>
      </c>
      <c r="D2" s="11" t="s">
        <v>11</v>
      </c>
      <c r="E2" s="2">
        <v>14</v>
      </c>
      <c r="F2" s="2"/>
      <c r="G2" s="2">
        <v>0.07</v>
      </c>
      <c r="H2" s="2">
        <f>E2*G2</f>
        <v>0.98</v>
      </c>
    </row>
    <row r="3" ht="38.4" spans="1:8">
      <c r="A3" s="11" t="s">
        <v>12</v>
      </c>
      <c r="B3" s="11" t="s">
        <v>13</v>
      </c>
      <c r="C3" s="12" t="s">
        <v>14</v>
      </c>
      <c r="D3" s="11" t="s">
        <v>15</v>
      </c>
      <c r="E3" s="2">
        <v>8</v>
      </c>
      <c r="F3" s="2"/>
      <c r="G3" s="2">
        <v>2.7</v>
      </c>
      <c r="H3" s="2">
        <f t="shared" ref="H3:H34" si="0">E3*G3</f>
        <v>21.6</v>
      </c>
    </row>
    <row r="4" ht="19.2" spans="1:8">
      <c r="A4" s="11" t="s">
        <v>16</v>
      </c>
      <c r="B4" s="11" t="s">
        <v>9</v>
      </c>
      <c r="C4" s="11" t="s">
        <v>17</v>
      </c>
      <c r="D4" s="11" t="s">
        <v>11</v>
      </c>
      <c r="E4" s="2">
        <v>2</v>
      </c>
      <c r="F4" s="2"/>
      <c r="G4" s="2">
        <v>0.07</v>
      </c>
      <c r="H4" s="2">
        <f t="shared" si="0"/>
        <v>0.14</v>
      </c>
    </row>
    <row r="5" ht="19.2" spans="1:8">
      <c r="A5" s="11" t="s">
        <v>18</v>
      </c>
      <c r="B5" s="11" t="s">
        <v>19</v>
      </c>
      <c r="C5" s="11" t="s">
        <v>20</v>
      </c>
      <c r="D5" s="11" t="s">
        <v>21</v>
      </c>
      <c r="E5" s="2">
        <v>2</v>
      </c>
      <c r="F5" s="2"/>
      <c r="G5" s="2">
        <v>1.06</v>
      </c>
      <c r="H5" s="2">
        <f t="shared" si="0"/>
        <v>2.12</v>
      </c>
    </row>
    <row r="6" ht="19.2" spans="1:8">
      <c r="A6" s="11" t="s">
        <v>22</v>
      </c>
      <c r="B6" s="11" t="s">
        <v>9</v>
      </c>
      <c r="C6" s="11" t="s">
        <v>23</v>
      </c>
      <c r="D6" s="11" t="s">
        <v>11</v>
      </c>
      <c r="E6" s="2">
        <v>1</v>
      </c>
      <c r="F6" s="2"/>
      <c r="G6" s="2">
        <v>0.1</v>
      </c>
      <c r="H6" s="2">
        <f t="shared" si="0"/>
        <v>0.1</v>
      </c>
    </row>
    <row r="7" ht="19.2" spans="1:8">
      <c r="A7" s="11" t="s">
        <v>24</v>
      </c>
      <c r="B7" s="11" t="s">
        <v>9</v>
      </c>
      <c r="C7" s="11" t="s">
        <v>25</v>
      </c>
      <c r="D7" s="11" t="s">
        <v>11</v>
      </c>
      <c r="E7" s="2">
        <v>1</v>
      </c>
      <c r="F7" s="2"/>
      <c r="G7" s="2">
        <v>0.07</v>
      </c>
      <c r="H7" s="2">
        <f t="shared" si="0"/>
        <v>0.07</v>
      </c>
    </row>
    <row r="8" ht="19.2" spans="1:8">
      <c r="A8" s="11" t="s">
        <v>26</v>
      </c>
      <c r="B8" s="11" t="s">
        <v>27</v>
      </c>
      <c r="C8" s="11" t="s">
        <v>28</v>
      </c>
      <c r="D8" s="11" t="s">
        <v>29</v>
      </c>
      <c r="E8" s="2">
        <v>1</v>
      </c>
      <c r="F8" s="2"/>
      <c r="G8" s="2">
        <v>0.183</v>
      </c>
      <c r="H8" s="2">
        <f t="shared" si="0"/>
        <v>0.183</v>
      </c>
    </row>
    <row r="9" ht="19.2" spans="1:8">
      <c r="A9" s="11" t="s">
        <v>30</v>
      </c>
      <c r="B9" s="11" t="s">
        <v>27</v>
      </c>
      <c r="C9" s="11" t="s">
        <v>31</v>
      </c>
      <c r="D9" s="11" t="s">
        <v>29</v>
      </c>
      <c r="E9" s="2">
        <v>4</v>
      </c>
      <c r="F9" s="2"/>
      <c r="G9" s="2">
        <v>0.0655</v>
      </c>
      <c r="H9" s="2">
        <f t="shared" si="0"/>
        <v>0.262</v>
      </c>
    </row>
    <row r="10" ht="19.2" spans="1:8">
      <c r="A10" s="11" t="s">
        <v>32</v>
      </c>
      <c r="B10" s="11" t="s">
        <v>33</v>
      </c>
      <c r="C10" s="11" t="s">
        <v>34</v>
      </c>
      <c r="D10" s="11" t="s">
        <v>35</v>
      </c>
      <c r="E10" s="2">
        <v>1</v>
      </c>
      <c r="F10" s="2"/>
      <c r="G10" s="2">
        <v>0.5</v>
      </c>
      <c r="H10" s="2">
        <f t="shared" si="0"/>
        <v>0.5</v>
      </c>
    </row>
    <row r="11" ht="38.4" spans="1:8">
      <c r="A11" s="13" t="s">
        <v>36</v>
      </c>
      <c r="B11" s="14" t="s">
        <v>37</v>
      </c>
      <c r="C11" s="13" t="s">
        <v>38</v>
      </c>
      <c r="D11" s="13" t="s">
        <v>39</v>
      </c>
      <c r="E11" s="4">
        <v>1</v>
      </c>
      <c r="F11" s="4" t="s">
        <v>40</v>
      </c>
      <c r="G11" s="4">
        <v>0</v>
      </c>
      <c r="H11" s="4">
        <f t="shared" si="0"/>
        <v>0</v>
      </c>
    </row>
    <row r="12" ht="19.2" spans="1:8">
      <c r="A12" s="11" t="s">
        <v>41</v>
      </c>
      <c r="B12" s="11" t="s">
        <v>42</v>
      </c>
      <c r="C12" s="11" t="s">
        <v>43</v>
      </c>
      <c r="D12" s="11" t="s">
        <v>44</v>
      </c>
      <c r="E12" s="2">
        <v>1</v>
      </c>
      <c r="F12" s="2"/>
      <c r="G12" s="2">
        <v>0.73</v>
      </c>
      <c r="H12" s="2">
        <f t="shared" si="0"/>
        <v>0.73</v>
      </c>
    </row>
    <row r="13" ht="19.2" spans="1:8">
      <c r="A13" s="11" t="s">
        <v>45</v>
      </c>
      <c r="B13" s="11" t="s">
        <v>46</v>
      </c>
      <c r="C13" s="11" t="s">
        <v>47</v>
      </c>
      <c r="D13" s="11" t="s">
        <v>48</v>
      </c>
      <c r="E13" s="2">
        <v>4</v>
      </c>
      <c r="F13" s="2"/>
      <c r="G13" s="2">
        <v>0.45</v>
      </c>
      <c r="H13" s="2">
        <f t="shared" si="0"/>
        <v>1.8</v>
      </c>
    </row>
    <row r="14" ht="38.4" spans="1:8">
      <c r="A14" s="11" t="s">
        <v>49</v>
      </c>
      <c r="B14" s="11" t="s">
        <v>50</v>
      </c>
      <c r="C14" s="12" t="s">
        <v>51</v>
      </c>
      <c r="D14" s="11" t="s">
        <v>52</v>
      </c>
      <c r="E14" s="2">
        <v>5</v>
      </c>
      <c r="F14" s="2"/>
      <c r="G14" s="2">
        <v>0.19</v>
      </c>
      <c r="H14" s="2">
        <f t="shared" si="0"/>
        <v>0.95</v>
      </c>
    </row>
    <row r="15" ht="19.2" spans="1:8">
      <c r="A15" s="11" t="s">
        <v>53</v>
      </c>
      <c r="B15" s="11" t="s">
        <v>54</v>
      </c>
      <c r="C15" s="11" t="s">
        <v>55</v>
      </c>
      <c r="D15" s="11" t="s">
        <v>48</v>
      </c>
      <c r="E15" s="2">
        <v>4</v>
      </c>
      <c r="F15" s="2"/>
      <c r="G15" s="2">
        <v>0.49</v>
      </c>
      <c r="H15" s="2">
        <f t="shared" si="0"/>
        <v>1.96</v>
      </c>
    </row>
    <row r="16" ht="38.4" spans="1:8">
      <c r="A16" s="11" t="s">
        <v>56</v>
      </c>
      <c r="B16" s="11" t="s">
        <v>57</v>
      </c>
      <c r="C16" s="12" t="s">
        <v>58</v>
      </c>
      <c r="D16" s="11" t="s">
        <v>59</v>
      </c>
      <c r="E16" s="2">
        <v>8</v>
      </c>
      <c r="F16" s="2"/>
      <c r="G16" s="2">
        <v>0.03</v>
      </c>
      <c r="H16" s="2">
        <f t="shared" si="0"/>
        <v>0.24</v>
      </c>
    </row>
    <row r="17" ht="96" spans="1:8">
      <c r="A17" s="11" t="s">
        <v>60</v>
      </c>
      <c r="B17" s="11" t="s">
        <v>57</v>
      </c>
      <c r="C17" s="12" t="s">
        <v>61</v>
      </c>
      <c r="D17" s="11" t="s">
        <v>59</v>
      </c>
      <c r="E17" s="2">
        <v>14</v>
      </c>
      <c r="F17" s="2"/>
      <c r="G17" s="2">
        <v>0.03</v>
      </c>
      <c r="H17" s="2">
        <f t="shared" si="0"/>
        <v>0.42</v>
      </c>
    </row>
    <row r="18" ht="19.2" spans="1:8">
      <c r="A18" s="11" t="s">
        <v>62</v>
      </c>
      <c r="B18" s="11" t="s">
        <v>57</v>
      </c>
      <c r="C18" s="11" t="s">
        <v>63</v>
      </c>
      <c r="D18" s="11" t="s">
        <v>59</v>
      </c>
      <c r="E18" s="2">
        <v>1</v>
      </c>
      <c r="F18" s="2"/>
      <c r="G18" s="2">
        <v>0.03</v>
      </c>
      <c r="H18" s="2">
        <f t="shared" si="0"/>
        <v>0.03</v>
      </c>
    </row>
    <row r="19" ht="19.2" spans="1:8">
      <c r="A19" s="11" t="s">
        <v>64</v>
      </c>
      <c r="B19" s="11" t="s">
        <v>57</v>
      </c>
      <c r="C19" s="11" t="s">
        <v>65</v>
      </c>
      <c r="D19" s="11" t="s">
        <v>59</v>
      </c>
      <c r="E19" s="2">
        <v>1</v>
      </c>
      <c r="F19" s="2"/>
      <c r="G19" s="2">
        <v>0.03</v>
      </c>
      <c r="H19" s="2">
        <f t="shared" si="0"/>
        <v>0.03</v>
      </c>
    </row>
    <row r="20" ht="19.2" spans="1:8">
      <c r="A20" s="11" t="s">
        <v>66</v>
      </c>
      <c r="B20" s="11" t="s">
        <v>57</v>
      </c>
      <c r="C20" s="11" t="s">
        <v>67</v>
      </c>
      <c r="D20" s="11" t="s">
        <v>59</v>
      </c>
      <c r="E20" s="2">
        <v>1</v>
      </c>
      <c r="F20" s="2"/>
      <c r="G20" s="2">
        <v>0.03</v>
      </c>
      <c r="H20" s="2">
        <f t="shared" si="0"/>
        <v>0.03</v>
      </c>
    </row>
    <row r="21" ht="19.2" spans="1:8">
      <c r="A21" s="11" t="s">
        <v>68</v>
      </c>
      <c r="B21" s="11" t="s">
        <v>57</v>
      </c>
      <c r="C21" s="11" t="s">
        <v>69</v>
      </c>
      <c r="D21" s="11" t="s">
        <v>59</v>
      </c>
      <c r="E21" s="2">
        <v>2</v>
      </c>
      <c r="F21" s="2"/>
      <c r="G21" s="2">
        <v>0.03</v>
      </c>
      <c r="H21" s="2">
        <f t="shared" si="0"/>
        <v>0.06</v>
      </c>
    </row>
    <row r="22" ht="19.2" spans="1:8">
      <c r="A22" s="11" t="s">
        <v>70</v>
      </c>
      <c r="B22" s="11" t="s">
        <v>57</v>
      </c>
      <c r="C22" s="11" t="s">
        <v>71</v>
      </c>
      <c r="D22" s="11" t="s">
        <v>72</v>
      </c>
      <c r="E22" s="2">
        <v>1</v>
      </c>
      <c r="F22" s="2"/>
      <c r="G22" s="2">
        <v>0.03</v>
      </c>
      <c r="H22" s="2">
        <f t="shared" si="0"/>
        <v>0.03</v>
      </c>
    </row>
    <row r="23" ht="57.6" spans="1:8">
      <c r="A23" s="11" t="s">
        <v>73</v>
      </c>
      <c r="B23" s="11" t="s">
        <v>57</v>
      </c>
      <c r="C23" s="12" t="s">
        <v>74</v>
      </c>
      <c r="D23" s="11" t="s">
        <v>59</v>
      </c>
      <c r="E23" s="2">
        <v>7</v>
      </c>
      <c r="F23" s="2"/>
      <c r="G23" s="2">
        <v>0.03</v>
      </c>
      <c r="H23" s="2">
        <f t="shared" si="0"/>
        <v>0.21</v>
      </c>
    </row>
    <row r="24" ht="19.2" spans="1:8">
      <c r="A24" s="11" t="s">
        <v>75</v>
      </c>
      <c r="B24" s="11" t="s">
        <v>57</v>
      </c>
      <c r="C24" s="11" t="s">
        <v>76</v>
      </c>
      <c r="D24" s="11" t="s">
        <v>59</v>
      </c>
      <c r="E24" s="2">
        <v>1</v>
      </c>
      <c r="F24" s="2"/>
      <c r="G24" s="2">
        <v>0.03</v>
      </c>
      <c r="H24" s="2">
        <f t="shared" si="0"/>
        <v>0.03</v>
      </c>
    </row>
    <row r="25" ht="19.2" spans="1:8">
      <c r="A25" s="11" t="s">
        <v>77</v>
      </c>
      <c r="B25" s="11" t="s">
        <v>57</v>
      </c>
      <c r="C25" s="11" t="s">
        <v>78</v>
      </c>
      <c r="D25" s="11" t="s">
        <v>59</v>
      </c>
      <c r="E25" s="2">
        <v>2</v>
      </c>
      <c r="F25" s="2"/>
      <c r="G25" s="2">
        <v>0.03</v>
      </c>
      <c r="H25" s="2">
        <f t="shared" si="0"/>
        <v>0.06</v>
      </c>
    </row>
    <row r="26" ht="19.2" spans="1:8">
      <c r="A26" s="11" t="s">
        <v>79</v>
      </c>
      <c r="B26" s="11" t="s">
        <v>57</v>
      </c>
      <c r="C26" s="11" t="s">
        <v>80</v>
      </c>
      <c r="D26" s="11" t="s">
        <v>59</v>
      </c>
      <c r="E26" s="2">
        <v>1</v>
      </c>
      <c r="F26" s="2"/>
      <c r="G26" s="2">
        <v>0.03</v>
      </c>
      <c r="H26" s="2">
        <f t="shared" si="0"/>
        <v>0.03</v>
      </c>
    </row>
    <row r="27" ht="19.2" spans="1:8">
      <c r="A27" s="11" t="s">
        <v>81</v>
      </c>
      <c r="B27" s="11" t="s">
        <v>57</v>
      </c>
      <c r="C27" s="11" t="s">
        <v>82</v>
      </c>
      <c r="D27" s="11" t="s">
        <v>59</v>
      </c>
      <c r="E27" s="2">
        <v>3</v>
      </c>
      <c r="F27" s="2"/>
      <c r="G27" s="2">
        <v>0.03</v>
      </c>
      <c r="H27" s="2">
        <f t="shared" si="0"/>
        <v>0.09</v>
      </c>
    </row>
    <row r="28" ht="19.2" spans="1:8">
      <c r="A28" s="11" t="s">
        <v>83</v>
      </c>
      <c r="B28" s="11" t="s">
        <v>57</v>
      </c>
      <c r="C28" s="11" t="s">
        <v>84</v>
      </c>
      <c r="D28" s="11" t="s">
        <v>59</v>
      </c>
      <c r="E28" s="2">
        <v>1</v>
      </c>
      <c r="F28" s="2"/>
      <c r="G28" s="2">
        <v>0.03</v>
      </c>
      <c r="H28" s="2">
        <f t="shared" si="0"/>
        <v>0.03</v>
      </c>
    </row>
    <row r="29" ht="185.05" customHeight="1" spans="1:8">
      <c r="A29" s="11" t="s">
        <v>85</v>
      </c>
      <c r="B29" s="12" t="s">
        <v>86</v>
      </c>
      <c r="C29" s="11" t="s">
        <v>87</v>
      </c>
      <c r="D29" s="11" t="s">
        <v>88</v>
      </c>
      <c r="E29" s="2">
        <v>1</v>
      </c>
      <c r="F29" s="2"/>
      <c r="G29" s="2">
        <v>24</v>
      </c>
      <c r="H29" s="2">
        <f t="shared" si="0"/>
        <v>24</v>
      </c>
    </row>
    <row r="30" ht="38.4" spans="1:8">
      <c r="A30" s="11" t="s">
        <v>89</v>
      </c>
      <c r="B30" s="12" t="s">
        <v>90</v>
      </c>
      <c r="C30" s="11" t="s">
        <v>91</v>
      </c>
      <c r="D30" s="11" t="s">
        <v>92</v>
      </c>
      <c r="E30" s="2">
        <v>1</v>
      </c>
      <c r="F30" s="2"/>
      <c r="G30" s="2">
        <v>5.33</v>
      </c>
      <c r="H30" s="2">
        <f t="shared" si="0"/>
        <v>5.33</v>
      </c>
    </row>
    <row r="31" ht="76.8" spans="1:8">
      <c r="A31" s="13" t="s">
        <v>93</v>
      </c>
      <c r="B31" s="14" t="s">
        <v>94</v>
      </c>
      <c r="C31" s="13" t="s">
        <v>95</v>
      </c>
      <c r="D31" s="13" t="s">
        <v>96</v>
      </c>
      <c r="E31" s="4">
        <v>1</v>
      </c>
      <c r="F31" s="5" t="s">
        <v>97</v>
      </c>
      <c r="G31" s="4">
        <v>15.62</v>
      </c>
      <c r="H31" s="4">
        <f t="shared" si="0"/>
        <v>15.62</v>
      </c>
    </row>
    <row r="32" ht="38.4" spans="1:8">
      <c r="A32" s="11" t="s">
        <v>98</v>
      </c>
      <c r="B32" s="12" t="s">
        <v>99</v>
      </c>
      <c r="C32" s="11" t="s">
        <v>100</v>
      </c>
      <c r="D32" s="11" t="s">
        <v>101</v>
      </c>
      <c r="E32" s="2">
        <v>1</v>
      </c>
      <c r="F32" s="2"/>
      <c r="G32" s="2">
        <v>4.59</v>
      </c>
      <c r="H32" s="2">
        <f t="shared" si="0"/>
        <v>4.59</v>
      </c>
    </row>
    <row r="33" ht="38.4" spans="1:8">
      <c r="A33" s="11" t="s">
        <v>102</v>
      </c>
      <c r="B33" s="12" t="s">
        <v>103</v>
      </c>
      <c r="C33" s="11" t="s">
        <v>104</v>
      </c>
      <c r="D33" s="11" t="s">
        <v>105</v>
      </c>
      <c r="E33" s="2">
        <v>1</v>
      </c>
      <c r="F33" s="2"/>
      <c r="G33" s="2">
        <v>1.13</v>
      </c>
      <c r="H33" s="2">
        <f t="shared" si="0"/>
        <v>1.13</v>
      </c>
    </row>
    <row r="34" ht="38.4" spans="1:8">
      <c r="A34" s="11" t="s">
        <v>106</v>
      </c>
      <c r="B34" s="12" t="s">
        <v>107</v>
      </c>
      <c r="C34" s="11" t="s">
        <v>108</v>
      </c>
      <c r="D34" s="2" t="s">
        <v>109</v>
      </c>
      <c r="E34" s="2">
        <v>2</v>
      </c>
      <c r="F34" s="2"/>
      <c r="G34" s="2">
        <v>0.72</v>
      </c>
      <c r="H34" s="2">
        <f t="shared" si="0"/>
        <v>1.44</v>
      </c>
    </row>
    <row r="35" ht="20.4" spans="1:8">
      <c r="A35" s="6" t="s">
        <v>110</v>
      </c>
      <c r="B35" s="7"/>
      <c r="C35" s="7"/>
      <c r="D35" s="7"/>
      <c r="E35" s="7"/>
      <c r="F35" s="7"/>
      <c r="G35" s="8">
        <f>SUM(H2:H34)</f>
        <v>84.795</v>
      </c>
      <c r="H35" s="8"/>
    </row>
    <row r="36" ht="22.2" spans="1:8">
      <c r="A36" s="9" t="s">
        <v>111</v>
      </c>
      <c r="B36" s="9"/>
      <c r="C36" s="9"/>
      <c r="D36" s="9"/>
      <c r="E36" s="9">
        <f>SUM(E2:E34)</f>
        <v>99</v>
      </c>
      <c r="F36" s="9"/>
      <c r="G36" s="9"/>
      <c r="H36" s="9"/>
    </row>
  </sheetData>
  <mergeCells count="4">
    <mergeCell ref="A35:F35"/>
    <mergeCell ref="G35:H35"/>
    <mergeCell ref="A36:D36"/>
    <mergeCell ref="E36:H3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4串主动均衡和BMS板-BOM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redstoner_35</dc:creator>
  <cp:lastModifiedBy>redstoner_35</cp:lastModifiedBy>
  <dcterms:created xsi:type="dcterms:W3CDTF">2026-08-20T04:33:00Z</dcterms:created>
  <dcterms:modified xsi:type="dcterms:W3CDTF">2026-08-20T05:37:52Z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D3282E0432FE4E579DCFF00E8063FB31_11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