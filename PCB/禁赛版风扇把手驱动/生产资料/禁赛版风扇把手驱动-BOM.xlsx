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Union-Projects\DFEx_GT-X2\PCB\禁赛版风扇把手驱动\生产资料\"/>
    </mc:Choice>
  </mc:AlternateContent>
  <bookViews>
    <workbookView windowWidth="29868" windowHeight="15420"/>
  </bookViews>
  <sheets>
    <sheet name="禁赛版风扇把手驱动-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<sst xmlns="http://schemas.openxmlformats.org/spreadsheetml/2006/main" count="175" uniqueCount="134">
  <si>
    <t>料号</t>
  </si>
  <si>
    <t>描述</t>
  </si>
  <si>
    <t>位号</t>
  </si>
  <si>
    <t>封装</t>
  </si>
  <si>
    <t>数量</t>
  </si>
  <si>
    <t>参考图片/备注</t>
  </si>
  <si>
    <t>单价</t>
  </si>
  <si>
    <t>总价</t>
  </si>
  <si>
    <t>100nF (104) 10% 50V</t>
  </si>
  <si>
    <t>贴片电容</t>
  </si>
  <si>
    <t>C1, C3, C18</t>
  </si>
  <si>
    <t>0402_C</t>
  </si>
  <si>
    <t>4.7uF (475) 20% 10V</t>
  </si>
  <si>
    <t>C2</t>
  </si>
  <si>
    <t>GRM31CR61E476ME44L</t>
  </si>
  <si>
    <t>1206尺寸村田MLCC 25V 47uF X5R ±20%</t>
  </si>
  <si>
    <t>C4, C5</t>
  </si>
  <si>
    <t>1206C</t>
  </si>
  <si>
    <t>22uF (226) 20% 25V</t>
  </si>
  <si>
    <t>C6</t>
  </si>
  <si>
    <t>0805_C</t>
  </si>
  <si>
    <t>47nF (473) 10% 50V</t>
  </si>
  <si>
    <t>C7</t>
  </si>
  <si>
    <t>56pF (560) 5% 50V</t>
  </si>
  <si>
    <t>C8</t>
  </si>
  <si>
    <t>10uF (106) 20% 10V</t>
  </si>
  <si>
    <t>C9, C10, C13</t>
  </si>
  <si>
    <t>C2012X5R1A476MTJ00E</t>
  </si>
  <si>
    <t>贴片MLCC电容，X5R 47uF ±20% 10V</t>
  </si>
  <si>
    <t>C11, C12</t>
  </si>
  <si>
    <t>1.0uF (105) 10% 25V</t>
  </si>
  <si>
    <t>C14, C15</t>
  </si>
  <si>
    <t>GRM188R61E106KA73D</t>
  </si>
  <si>
    <t>村田贴片MLCC电容 25V 10uF±20% X5R
 0603封装</t>
  </si>
  <si>
    <t>C16, C17, C19, 
C20, C21</t>
  </si>
  <si>
    <t>0603_C</t>
  </si>
  <si>
    <t>2.2nF (222) 10% 50V</t>
  </si>
  <si>
    <t>C23</t>
  </si>
  <si>
    <t>CMS8S-JTAG-TP-1.27mm</t>
  </si>
  <si>
    <t>面向CMS8S6990NA单片机的调试贴片触点，并不是元器件实物</t>
  </si>
  <si>
    <t>J1</t>
  </si>
  <si>
    <t>CMS8S-JTAG-TP-2x2-P1.27</t>
  </si>
  <si>
    <t>XAL1060-222MEC</t>
  </si>
  <si>
    <t>线艺一体成型模压电感，9.8mΩ DCR 25A饱和
电流 4.7uH±20%电感量 10*11*6mm尺寸</t>
  </si>
  <si>
    <t>L1</t>
  </si>
  <si>
    <t>XAL1060-472ME-Lifted</t>
  </si>
  <si>
    <r>
      <t>这个地方如果能买到</t>
    </r>
    <r>
      <rPr>
        <b/>
        <sz val="14"/>
        <color rgb="FFFF0000"/>
        <rFont val="微软雅黑"/>
        <charset val="134"/>
      </rPr>
      <t>XGL1060-222MEC</t>
    </r>
    <r>
      <rPr>
        <sz val="14"/>
        <color rgb="FF000000"/>
        <rFont val="微软雅黑"/>
        <charset val="134"/>
      </rPr>
      <t>的话建议用，可以提升1%满载效率。此外，如果需要考虑双锂模式，则电感需要更换为4.7uH的</t>
    </r>
    <r>
      <rPr>
        <b/>
        <sz val="14"/>
        <color rgb="FF000000"/>
        <rFont val="微软雅黑"/>
        <charset val="134"/>
      </rPr>
      <t>XGL1060-472</t>
    </r>
    <r>
      <rPr>
        <sz val="14"/>
        <color rgb="FF000000"/>
        <rFont val="微软雅黑"/>
        <charset val="134"/>
      </rPr>
      <t>否则芯片会过载烧毁！</t>
    </r>
  </si>
  <si>
    <t>BSZ024N04LS6ATMA1</t>
  </si>
  <si>
    <t>英飞凌OptiMOS 6 40V N沟道功率MOS 
2.8mΩ@4.5V S3O8封装</t>
  </si>
  <si>
    <t>Q1</t>
  </si>
  <si>
    <t>DFN-8_L3.0-W3.0-P0.65-BL</t>
  </si>
  <si>
    <t>XPX80P02RX</t>
  </si>
  <si>
    <t>PDFN3x3 30V 80A P沟道MOSFET</t>
  </si>
  <si>
    <t>Q2, Q3</t>
  </si>
  <si>
    <r>
      <t>贴牌版本AP80P02DF，可以在淘宝买到。如果买不到就用</t>
    </r>
    <r>
      <rPr>
        <b/>
        <sz val="14"/>
        <color rgb="FFFF0000"/>
        <rFont val="微软雅黑"/>
        <charset val="134"/>
      </rPr>
      <t>WSD20L70DN33</t>
    </r>
    <r>
      <rPr>
        <sz val="14"/>
        <color theme="1"/>
        <rFont val="微软雅黑"/>
        <charset val="134"/>
      </rPr>
      <t>替代，损耗略高。</t>
    </r>
  </si>
  <si>
    <t>XPX70P03RX</t>
  </si>
  <si>
    <t>-30V -70A 6.5mR P沟道增强型MOSFET</t>
  </si>
  <si>
    <t>Q4</t>
  </si>
  <si>
    <t>贴牌版本AP70P03DF，可以在淘宝买到。如果买不到可以用30V 至少8mΩ Rdson以内的P管替代。</t>
  </si>
  <si>
    <t>2N7002KW</t>
  </si>
  <si>
    <t>单N沟道MOSFET(场效应管)</t>
  </si>
  <si>
    <t>Q5, Q6</t>
  </si>
  <si>
    <t>SC70-3</t>
  </si>
  <si>
    <t>510KΩ (5103) ±1%</t>
  </si>
  <si>
    <t>贴片电阻</t>
  </si>
  <si>
    <t>R1</t>
  </si>
  <si>
    <t>0402_R</t>
  </si>
  <si>
    <t>RT0402BRD0720KL</t>
  </si>
  <si>
    <t>0402贴片薄膜高精密电阻 20KΩ ±0.1%
 62.5mW 25PPM</t>
  </si>
  <si>
    <t>R2</t>
  </si>
  <si>
    <t>59KΩ (5902) ±1%</t>
  </si>
  <si>
    <t>R3</t>
  </si>
  <si>
    <t>PTFR0402B10K0N9</t>
  </si>
  <si>
    <t>0402贴片薄膜高精密电阻 10KΩ ±0.1% 
62.5mW 25PPM</t>
  </si>
  <si>
    <t>R4</t>
  </si>
  <si>
    <t>10KΩ (1002) ±1%</t>
  </si>
  <si>
    <t>R5, R6, R7, R13,
 R14, R19</t>
  </si>
  <si>
    <t>51KΩ (5102) ±1%</t>
  </si>
  <si>
    <t>R8</t>
  </si>
  <si>
    <t>220KΩ (2203) ±1%</t>
  </si>
  <si>
    <t>R9</t>
  </si>
  <si>
    <t>22KΩ (2202) ±1%</t>
  </si>
  <si>
    <t>R10</t>
  </si>
  <si>
    <t>2.2Ω (2R20) ±1%</t>
  </si>
  <si>
    <t>R11</t>
  </si>
  <si>
    <t>0603_R</t>
  </si>
  <si>
    <t>47KΩ (4702) ±1%</t>
  </si>
  <si>
    <t>R12</t>
  </si>
  <si>
    <t>0Ω (0R0) ±1%</t>
  </si>
  <si>
    <t>R15</t>
  </si>
  <si>
    <t>10Ω (10R0) ±1%</t>
  </si>
  <si>
    <t>R16</t>
  </si>
  <si>
    <t>AR02BTD4703</t>
  </si>
  <si>
    <t>0402 贴片薄膜高精密低温飘电阻 
470KΩ±0.1% 25PPM</t>
  </si>
  <si>
    <t>R17</t>
  </si>
  <si>
    <t>ERA2AEB104X</t>
  </si>
  <si>
    <t>松下 0402精密低温飘贴片电阻 
100KΩ±0.1% 62.5mW</t>
  </si>
  <si>
    <t>R18</t>
  </si>
  <si>
    <t>RC0402DR-07330KL</t>
  </si>
  <si>
    <t>0402厚膜较高精度贴片电阻 
330KΩ±0.5% 62.5mW</t>
  </si>
  <si>
    <t>R20</t>
  </si>
  <si>
    <t>FNTC0402X104D4250DB</t>
  </si>
  <si>
    <t>0402尺寸贴片式NTC热敏电阻 
B25-85℃=4310±0.5% R25=100KΩ±0.5%</t>
  </si>
  <si>
    <t>R21</t>
  </si>
  <si>
    <t>TBD</t>
  </si>
  <si>
    <t>0402贴片电阻，阻值根据配置来</t>
  </si>
  <si>
    <t>R22</t>
  </si>
  <si>
    <t>这个电阻根据需要的固件模式配置选
择阻值，详情请查看固件readme和原理图PDF！</t>
  </si>
  <si>
    <t>TPS61287RZPR</t>
  </si>
  <si>
    <t>Synchronous Boost Converter with 
Stackable Multi-Phase Function</t>
  </si>
  <si>
    <t>U1</t>
  </si>
  <si>
    <t>RZP0014A-
TPS61287</t>
  </si>
  <si>
    <t>CMS8S6990NAQN20</t>
  </si>
  <si>
    <t>增强型闪存1T 8051单片机，16KB Flash 256+1K XRAM</t>
  </si>
  <si>
    <t>U2</t>
  </si>
  <si>
    <t>QFN3*3_20L</t>
  </si>
  <si>
    <t>LMV321IDCKR</t>
  </si>
  <si>
    <t>CMOS超小型运算放大器，SC70-5</t>
  </si>
  <si>
    <t>U3</t>
  </si>
  <si>
    <t>SC70-5</t>
  </si>
  <si>
    <t>不建议用国产替代，国产料
存在Vol漂移问题，会变得不幸</t>
  </si>
  <si>
    <t>ME6209A30M3G</t>
  </si>
  <si>
    <t>低压差线性稳压(LDO)</t>
  </si>
  <si>
    <t>VR1</t>
  </si>
  <si>
    <t>SOT-23-3L</t>
  </si>
  <si>
    <t>Cu_1AU_L8.0_W2.0_H1.0</t>
  </si>
  <si>
    <r>
      <t>中通达SMT镀金铜条，长8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，宽度2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，厚度1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，镀金厚度1U</t>
    </r>
  </si>
  <si>
    <t>N/A</t>
  </si>
  <si>
    <t>Cu_L8.0_W2.0_H1.0</t>
  </si>
  <si>
    <t>可以在淘宝买到，需要垫在电感焊盘底下，用高温锡贴片，贴完再焊电感。</t>
  </si>
  <si>
    <t>CU_MainPOSContact</t>
  </si>
  <si>
    <t>东东海老款迷你薄弹片，可以找老板购买。需要用大剪刀裁剪后焊接到驱动背部大触点（参考备注图片的焊接方式）。</t>
  </si>
  <si>
    <t>驱动物料总价</t>
  </si>
  <si>
    <t>驱动元器件总数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</si>
</sst>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sz val="14"/>
      <color rgb="FF000000"/>
      <name val="Segoe UI"/>
      <charset val="134"/>
    </font>
    <font>
      <sz val="16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微软雅黑"/>
      <charset val="134"/>
    </font>
    <font>
      <b/>
      <sz val="14"/>
      <color rgb="FF00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quotePrefix="1">
      <alignment horizontal="center" vertical="center"/>
    </xf>
    <xf numFmtId="0" fontId="2" fillId="0" borderId="1" xfId="0" applyFont="1" applyBorder="1" quotePrefix="1">
      <alignment vertical="center"/>
    </xf>
    <xf numFmtId="0" fontId="2" fillId="0" borderId="1" xfId="0" applyFont="1" applyBorder="1" applyAlignment="1" quotePrefix="1">
      <alignment vertical="center" wrapText="1"/>
    </xf>
    <xf numFmtId="0" fontId="2" fillId="3" borderId="1" xfId="0" applyFont="1" applyFill="1" applyBorder="1" quotePrefix="1">
      <alignment vertical="center"/>
    </xf>
    <xf numFmtId="0" fontId="2" fillId="3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354330</xdr:colOff>
      <xdr:row>40</xdr:row>
      <xdr:rowOff>354330</xdr:rowOff>
    </xdr:from>
    <xdr:to>
      <xdr:col>3</xdr:col>
      <xdr:colOff>2015490</xdr:colOff>
      <xdr:row>40</xdr:row>
      <xdr:rowOff>2030730</xdr:rowOff>
    </xdr:to>
    <xdr:pic>
      <xdr:nvPicPr>
        <xdr:cNvPr id="4" name="ID_8975E28DDA514E82BBC4275B2E8A88B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75270" y="15784830"/>
          <a:ext cx="1661160" cy="167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264795</xdr:colOff>
      <xdr:row>40</xdr:row>
      <xdr:rowOff>15240</xdr:rowOff>
    </xdr:from>
    <xdr:to>
      <xdr:col>5</xdr:col>
      <xdr:colOff>2806065</xdr:colOff>
      <xdr:row>40</xdr:row>
      <xdr:rowOff>2369820</xdr:rowOff>
    </xdr:to>
    <xdr:pic>
      <xdr:nvPicPr>
        <xdr:cNvPr id="5" name="ID_46EE863F50F94D72864D86D4ABA8746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295380" y="15445740"/>
          <a:ext cx="2541270" cy="2354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topLeftCell="A5" workbookViewId="0">
      <selection activeCell="F14" sqref="F14"/>
    </sheetView>
  </sheetViews>
  <sheetFormatPr defaultColWidth="8.88888888888889" defaultRowHeight="14.4" outlineLevelCol="7"/>
  <cols>
    <col min="1" max="1" width="32.6666666666667" customWidth="1"/>
    <col min="2" max="2" width="54.6666666666667" customWidth="1"/>
    <col min="3" max="3" width="22.3333333333333" customWidth="1"/>
    <col min="4" max="4" width="34.4444444444444" customWidth="1"/>
    <col min="5" max="5" width="16.7314814814815" customWidth="1"/>
    <col min="6" max="6" width="44.6666666666667" customWidth="1"/>
    <col min="7" max="7" width="12.7777777777778" customWidth="1"/>
    <col min="8" max="8" width="10.8888888888889" customWidth="1"/>
  </cols>
  <sheetData>
    <row r="1" ht="17.4" spans="1:8">
      <c r="A1" s="21" t="s">
        <v>0</v>
      </c>
      <c r="B1" s="2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9.2" spans="1:8">
      <c r="A2" s="22" t="s">
        <v>8</v>
      </c>
      <c r="B2" s="22" t="s">
        <v>9</v>
      </c>
      <c r="C2" s="22" t="s">
        <v>10</v>
      </c>
      <c r="D2" s="22" t="s">
        <v>11</v>
      </c>
      <c r="E2" s="2">
        <v>3</v>
      </c>
      <c r="F2" s="3"/>
      <c r="G2" s="4">
        <v>0.06</v>
      </c>
      <c r="H2" s="4">
        <f>G2*E2</f>
        <v>0.18</v>
      </c>
    </row>
    <row r="3" ht="19.2" spans="1:8">
      <c r="A3" s="22" t="s">
        <v>12</v>
      </c>
      <c r="B3" s="22" t="s">
        <v>9</v>
      </c>
      <c r="C3" s="22" t="s">
        <v>13</v>
      </c>
      <c r="D3" s="22" t="s">
        <v>11</v>
      </c>
      <c r="E3" s="2">
        <v>1</v>
      </c>
      <c r="F3" s="3"/>
      <c r="G3" s="4">
        <v>0.1</v>
      </c>
      <c r="H3" s="4">
        <f t="shared" ref="H3:H40" si="0">G3*E3</f>
        <v>0.1</v>
      </c>
    </row>
    <row r="4" ht="19.2" spans="1:8">
      <c r="A4" s="22" t="s">
        <v>14</v>
      </c>
      <c r="B4" s="22" t="s">
        <v>15</v>
      </c>
      <c r="C4" s="22" t="s">
        <v>16</v>
      </c>
      <c r="D4" s="22" t="s">
        <v>17</v>
      </c>
      <c r="E4" s="2">
        <v>2</v>
      </c>
      <c r="F4" s="3"/>
      <c r="G4" s="4">
        <v>4.3</v>
      </c>
      <c r="H4" s="4">
        <f t="shared" si="0"/>
        <v>8.6</v>
      </c>
    </row>
    <row r="5" ht="19.2" spans="1:8">
      <c r="A5" s="22" t="s">
        <v>18</v>
      </c>
      <c r="B5" s="22" t="s">
        <v>9</v>
      </c>
      <c r="C5" s="22" t="s">
        <v>19</v>
      </c>
      <c r="D5" s="22" t="s">
        <v>20</v>
      </c>
      <c r="E5" s="2">
        <v>1</v>
      </c>
      <c r="F5" s="3"/>
      <c r="G5" s="4">
        <v>1.58</v>
      </c>
      <c r="H5" s="4">
        <f t="shared" si="0"/>
        <v>1.58</v>
      </c>
    </row>
    <row r="6" ht="19.2" spans="1:8">
      <c r="A6" s="22" t="s">
        <v>21</v>
      </c>
      <c r="B6" s="22" t="s">
        <v>9</v>
      </c>
      <c r="C6" s="22" t="s">
        <v>22</v>
      </c>
      <c r="D6" s="22" t="s">
        <v>11</v>
      </c>
      <c r="E6" s="2">
        <v>1</v>
      </c>
      <c r="F6" s="3"/>
      <c r="G6" s="4">
        <v>0.06</v>
      </c>
      <c r="H6" s="4">
        <f t="shared" si="0"/>
        <v>0.06</v>
      </c>
    </row>
    <row r="7" ht="19.2" spans="1:8">
      <c r="A7" s="22" t="s">
        <v>23</v>
      </c>
      <c r="B7" s="22" t="s">
        <v>9</v>
      </c>
      <c r="C7" s="22" t="s">
        <v>24</v>
      </c>
      <c r="D7" s="22" t="s">
        <v>11</v>
      </c>
      <c r="E7" s="2">
        <v>1</v>
      </c>
      <c r="F7" s="3"/>
      <c r="G7" s="4">
        <v>0.1</v>
      </c>
      <c r="H7" s="4">
        <f t="shared" si="0"/>
        <v>0.1</v>
      </c>
    </row>
    <row r="8" ht="19.2" spans="1:8">
      <c r="A8" s="22" t="s">
        <v>25</v>
      </c>
      <c r="B8" s="22" t="s">
        <v>9</v>
      </c>
      <c r="C8" s="22" t="s">
        <v>26</v>
      </c>
      <c r="D8" s="22" t="s">
        <v>11</v>
      </c>
      <c r="E8" s="2">
        <v>3</v>
      </c>
      <c r="F8" s="3"/>
      <c r="G8" s="4">
        <v>0.48</v>
      </c>
      <c r="H8" s="4">
        <f t="shared" si="0"/>
        <v>1.44</v>
      </c>
    </row>
    <row r="9" ht="19.2" spans="1:8">
      <c r="A9" s="22" t="s">
        <v>27</v>
      </c>
      <c r="B9" s="22" t="s">
        <v>28</v>
      </c>
      <c r="C9" s="22" t="s">
        <v>29</v>
      </c>
      <c r="D9" s="22" t="s">
        <v>20</v>
      </c>
      <c r="E9" s="2">
        <v>2</v>
      </c>
      <c r="F9" s="3"/>
      <c r="G9" s="4">
        <v>1.41</v>
      </c>
      <c r="H9" s="4">
        <f t="shared" si="0"/>
        <v>2.82</v>
      </c>
    </row>
    <row r="10" ht="19.2" spans="1:8">
      <c r="A10" s="22" t="s">
        <v>30</v>
      </c>
      <c r="B10" s="22" t="s">
        <v>9</v>
      </c>
      <c r="C10" s="22" t="s">
        <v>31</v>
      </c>
      <c r="D10" s="22" t="s">
        <v>11</v>
      </c>
      <c r="E10" s="2">
        <v>2</v>
      </c>
      <c r="F10" s="3"/>
      <c r="G10" s="4"/>
      <c r="H10" s="4">
        <f t="shared" si="0"/>
        <v>0</v>
      </c>
    </row>
    <row r="11" ht="38.4" spans="1:8">
      <c r="A11" s="22" t="s">
        <v>32</v>
      </c>
      <c r="B11" s="23" t="s">
        <v>33</v>
      </c>
      <c r="C11" s="23" t="s">
        <v>34</v>
      </c>
      <c r="D11" s="22" t="s">
        <v>35</v>
      </c>
      <c r="E11" s="2">
        <v>5</v>
      </c>
      <c r="F11" s="3"/>
      <c r="G11" s="4">
        <v>0.4</v>
      </c>
      <c r="H11" s="4">
        <f t="shared" si="0"/>
        <v>2</v>
      </c>
    </row>
    <row r="12" ht="19.2" spans="1:8">
      <c r="A12" s="22" t="s">
        <v>36</v>
      </c>
      <c r="B12" s="22" t="s">
        <v>9</v>
      </c>
      <c r="C12" s="22" t="s">
        <v>37</v>
      </c>
      <c r="D12" s="22" t="s">
        <v>11</v>
      </c>
      <c r="E12" s="2">
        <v>1</v>
      </c>
      <c r="F12" s="3"/>
      <c r="G12" s="4"/>
      <c r="H12" s="4">
        <f t="shared" si="0"/>
        <v>0</v>
      </c>
    </row>
    <row r="13" ht="38.4" spans="1:8">
      <c r="A13" s="22" t="s">
        <v>38</v>
      </c>
      <c r="B13" s="23" t="s">
        <v>39</v>
      </c>
      <c r="C13" s="22" t="s">
        <v>40</v>
      </c>
      <c r="D13" s="22" t="s">
        <v>41</v>
      </c>
      <c r="E13" s="2">
        <v>0</v>
      </c>
      <c r="F13" s="3"/>
      <c r="G13" s="4">
        <v>0</v>
      </c>
      <c r="H13" s="4">
        <f t="shared" si="0"/>
        <v>0</v>
      </c>
    </row>
    <row r="14" ht="99.6" spans="1:8">
      <c r="A14" s="24" t="s">
        <v>42</v>
      </c>
      <c r="B14" s="25" t="s">
        <v>43</v>
      </c>
      <c r="C14" s="24" t="s">
        <v>44</v>
      </c>
      <c r="D14" s="24" t="s">
        <v>45</v>
      </c>
      <c r="E14" s="6">
        <v>1</v>
      </c>
      <c r="F14" s="8" t="s">
        <v>46</v>
      </c>
      <c r="G14" s="9">
        <v>42</v>
      </c>
      <c r="H14" s="9">
        <f t="shared" si="0"/>
        <v>42</v>
      </c>
    </row>
    <row r="15" ht="38.4" spans="1:8">
      <c r="A15" s="22" t="s">
        <v>47</v>
      </c>
      <c r="B15" s="23" t="s">
        <v>48</v>
      </c>
      <c r="C15" s="22" t="s">
        <v>49</v>
      </c>
      <c r="D15" s="22" t="s">
        <v>50</v>
      </c>
      <c r="E15" s="2">
        <v>1</v>
      </c>
      <c r="F15" s="3"/>
      <c r="G15" s="4">
        <v>16.13</v>
      </c>
      <c r="H15" s="4">
        <f t="shared" si="0"/>
        <v>16.13</v>
      </c>
    </row>
    <row r="16" ht="58.8" spans="1:8">
      <c r="A16" s="24" t="s">
        <v>51</v>
      </c>
      <c r="B16" s="24" t="s">
        <v>52</v>
      </c>
      <c r="C16" s="24" t="s">
        <v>53</v>
      </c>
      <c r="D16" s="24" t="s">
        <v>50</v>
      </c>
      <c r="E16" s="6">
        <v>2</v>
      </c>
      <c r="F16" s="10" t="s">
        <v>54</v>
      </c>
      <c r="G16" s="9">
        <v>0.75</v>
      </c>
      <c r="H16" s="9">
        <f t="shared" si="0"/>
        <v>1.5</v>
      </c>
    </row>
    <row r="17" ht="57.6" spans="1:8">
      <c r="A17" s="24" t="s">
        <v>55</v>
      </c>
      <c r="B17" s="24" t="s">
        <v>56</v>
      </c>
      <c r="C17" s="24" t="s">
        <v>57</v>
      </c>
      <c r="D17" s="24" t="s">
        <v>50</v>
      </c>
      <c r="E17" s="6">
        <v>1</v>
      </c>
      <c r="F17" s="10" t="s">
        <v>58</v>
      </c>
      <c r="G17" s="9">
        <v>0.42</v>
      </c>
      <c r="H17" s="9">
        <f t="shared" si="0"/>
        <v>0.42</v>
      </c>
    </row>
    <row r="18" ht="19.2" spans="1:8">
      <c r="A18" s="22" t="s">
        <v>59</v>
      </c>
      <c r="B18" s="22" t="s">
        <v>60</v>
      </c>
      <c r="C18" s="22" t="s">
        <v>61</v>
      </c>
      <c r="D18" s="22" t="s">
        <v>62</v>
      </c>
      <c r="E18" s="2">
        <v>2</v>
      </c>
      <c r="F18" s="3"/>
      <c r="G18" s="4">
        <v>0.19</v>
      </c>
      <c r="H18" s="4">
        <f t="shared" si="0"/>
        <v>0.38</v>
      </c>
    </row>
    <row r="19" ht="19.2" spans="1:8">
      <c r="A19" s="22" t="s">
        <v>63</v>
      </c>
      <c r="B19" s="22" t="s">
        <v>64</v>
      </c>
      <c r="C19" s="22" t="s">
        <v>65</v>
      </c>
      <c r="D19" s="22" t="s">
        <v>66</v>
      </c>
      <c r="E19" s="2">
        <v>1</v>
      </c>
      <c r="F19" s="3"/>
      <c r="G19" s="4">
        <v>0.03</v>
      </c>
      <c r="H19" s="4">
        <f t="shared" si="0"/>
        <v>0.03</v>
      </c>
    </row>
    <row r="20" ht="38.4" spans="1:8">
      <c r="A20" s="22" t="s">
        <v>67</v>
      </c>
      <c r="B20" s="23" t="s">
        <v>68</v>
      </c>
      <c r="C20" s="22" t="s">
        <v>69</v>
      </c>
      <c r="D20" s="22" t="s">
        <v>66</v>
      </c>
      <c r="E20" s="2">
        <v>1</v>
      </c>
      <c r="F20" s="3"/>
      <c r="G20" s="4">
        <v>0.58</v>
      </c>
      <c r="H20" s="4">
        <f t="shared" si="0"/>
        <v>0.58</v>
      </c>
    </row>
    <row r="21" ht="19.2" spans="1:8">
      <c r="A21" s="22" t="s">
        <v>70</v>
      </c>
      <c r="B21" s="22" t="s">
        <v>64</v>
      </c>
      <c r="C21" s="22" t="s">
        <v>71</v>
      </c>
      <c r="D21" s="22" t="s">
        <v>66</v>
      </c>
      <c r="E21" s="2">
        <v>1</v>
      </c>
      <c r="F21" s="3"/>
      <c r="G21" s="4">
        <v>0.03</v>
      </c>
      <c r="H21" s="4">
        <f t="shared" si="0"/>
        <v>0.03</v>
      </c>
    </row>
    <row r="22" ht="38.4" spans="1:8">
      <c r="A22" s="22" t="s">
        <v>72</v>
      </c>
      <c r="B22" s="23" t="s">
        <v>73</v>
      </c>
      <c r="C22" s="22" t="s">
        <v>74</v>
      </c>
      <c r="D22" s="22" t="s">
        <v>66</v>
      </c>
      <c r="E22" s="2">
        <v>1</v>
      </c>
      <c r="F22" s="3"/>
      <c r="G22" s="4">
        <v>0.81</v>
      </c>
      <c r="H22" s="4">
        <f t="shared" si="0"/>
        <v>0.81</v>
      </c>
    </row>
    <row r="23" ht="38.4" spans="1:8">
      <c r="A23" s="22" t="s">
        <v>75</v>
      </c>
      <c r="B23" s="22" t="s">
        <v>64</v>
      </c>
      <c r="C23" s="23" t="s">
        <v>76</v>
      </c>
      <c r="D23" s="22" t="s">
        <v>66</v>
      </c>
      <c r="E23" s="2">
        <v>6</v>
      </c>
      <c r="F23" s="3"/>
      <c r="G23" s="4">
        <v>0.03</v>
      </c>
      <c r="H23" s="4">
        <f t="shared" si="0"/>
        <v>0.18</v>
      </c>
    </row>
    <row r="24" ht="19.2" spans="1:8">
      <c r="A24" s="22" t="s">
        <v>77</v>
      </c>
      <c r="B24" s="22" t="s">
        <v>64</v>
      </c>
      <c r="C24" s="22" t="s">
        <v>78</v>
      </c>
      <c r="D24" s="22" t="s">
        <v>66</v>
      </c>
      <c r="E24" s="2">
        <v>1</v>
      </c>
      <c r="F24" s="3"/>
      <c r="G24" s="4">
        <v>0.03</v>
      </c>
      <c r="H24" s="4">
        <f t="shared" si="0"/>
        <v>0.03</v>
      </c>
    </row>
    <row r="25" ht="19.2" spans="1:8">
      <c r="A25" s="22" t="s">
        <v>79</v>
      </c>
      <c r="B25" s="22" t="s">
        <v>64</v>
      </c>
      <c r="C25" s="22" t="s">
        <v>80</v>
      </c>
      <c r="D25" s="22" t="s">
        <v>66</v>
      </c>
      <c r="E25" s="2">
        <v>1</v>
      </c>
      <c r="F25" s="3"/>
      <c r="G25" s="4">
        <v>0.03</v>
      </c>
      <c r="H25" s="4">
        <f t="shared" si="0"/>
        <v>0.03</v>
      </c>
    </row>
    <row r="26" ht="19.2" spans="1:8">
      <c r="A26" s="22" t="s">
        <v>81</v>
      </c>
      <c r="B26" s="22" t="s">
        <v>64</v>
      </c>
      <c r="C26" s="22" t="s">
        <v>82</v>
      </c>
      <c r="D26" s="22" t="s">
        <v>66</v>
      </c>
      <c r="E26" s="2">
        <v>1</v>
      </c>
      <c r="F26" s="3"/>
      <c r="G26" s="4">
        <v>0.03</v>
      </c>
      <c r="H26" s="4">
        <f t="shared" si="0"/>
        <v>0.03</v>
      </c>
    </row>
    <row r="27" ht="19.2" spans="1:8">
      <c r="A27" s="22" t="s">
        <v>83</v>
      </c>
      <c r="B27" s="22" t="s">
        <v>64</v>
      </c>
      <c r="C27" s="22" t="s">
        <v>84</v>
      </c>
      <c r="D27" s="22" t="s">
        <v>85</v>
      </c>
      <c r="E27" s="2">
        <v>1</v>
      </c>
      <c r="F27" s="3"/>
      <c r="G27" s="4">
        <v>0.03</v>
      </c>
      <c r="H27" s="4">
        <f t="shared" si="0"/>
        <v>0.03</v>
      </c>
    </row>
    <row r="28" ht="19.2" spans="1:8">
      <c r="A28" s="22" t="s">
        <v>86</v>
      </c>
      <c r="B28" s="22" t="s">
        <v>64</v>
      </c>
      <c r="C28" s="22" t="s">
        <v>87</v>
      </c>
      <c r="D28" s="22" t="s">
        <v>66</v>
      </c>
      <c r="E28" s="2">
        <v>1</v>
      </c>
      <c r="F28" s="3"/>
      <c r="G28" s="4">
        <v>0.03</v>
      </c>
      <c r="H28" s="4">
        <f t="shared" si="0"/>
        <v>0.03</v>
      </c>
    </row>
    <row r="29" ht="19.2" spans="1:8">
      <c r="A29" s="22" t="s">
        <v>88</v>
      </c>
      <c r="B29" s="22" t="s">
        <v>64</v>
      </c>
      <c r="C29" s="22" t="s">
        <v>89</v>
      </c>
      <c r="D29" s="22" t="s">
        <v>66</v>
      </c>
      <c r="E29" s="2">
        <v>1</v>
      </c>
      <c r="F29" s="3"/>
      <c r="G29" s="4">
        <v>0.03</v>
      </c>
      <c r="H29" s="4">
        <f t="shared" si="0"/>
        <v>0.03</v>
      </c>
    </row>
    <row r="30" ht="19.2" spans="1:8">
      <c r="A30" s="22" t="s">
        <v>90</v>
      </c>
      <c r="B30" s="22" t="s">
        <v>64</v>
      </c>
      <c r="C30" s="22" t="s">
        <v>91</v>
      </c>
      <c r="D30" s="22" t="s">
        <v>66</v>
      </c>
      <c r="E30" s="2">
        <v>1</v>
      </c>
      <c r="F30" s="3"/>
      <c r="G30" s="4">
        <v>0.03</v>
      </c>
      <c r="H30" s="4">
        <f t="shared" si="0"/>
        <v>0.03</v>
      </c>
    </row>
    <row r="31" ht="38.4" spans="1:8">
      <c r="A31" s="22" t="s">
        <v>92</v>
      </c>
      <c r="B31" s="23" t="s">
        <v>93</v>
      </c>
      <c r="C31" s="22" t="s">
        <v>94</v>
      </c>
      <c r="D31" s="22" t="s">
        <v>66</v>
      </c>
      <c r="E31" s="2">
        <v>1</v>
      </c>
      <c r="F31" s="3"/>
      <c r="G31" s="4">
        <v>0.2</v>
      </c>
      <c r="H31" s="4">
        <f t="shared" si="0"/>
        <v>0.2</v>
      </c>
    </row>
    <row r="32" ht="38.4" spans="1:8">
      <c r="A32" s="22" t="s">
        <v>95</v>
      </c>
      <c r="B32" s="23" t="s">
        <v>96</v>
      </c>
      <c r="C32" s="22" t="s">
        <v>97</v>
      </c>
      <c r="D32" s="22" t="s">
        <v>66</v>
      </c>
      <c r="E32" s="2">
        <v>1</v>
      </c>
      <c r="F32" s="3"/>
      <c r="G32" s="4">
        <v>0.43</v>
      </c>
      <c r="H32" s="4">
        <f t="shared" si="0"/>
        <v>0.43</v>
      </c>
    </row>
    <row r="33" ht="38.4" spans="1:8">
      <c r="A33" s="22" t="s">
        <v>98</v>
      </c>
      <c r="B33" s="23" t="s">
        <v>99</v>
      </c>
      <c r="C33" s="22" t="s">
        <v>100</v>
      </c>
      <c r="D33" s="22" t="s">
        <v>66</v>
      </c>
      <c r="E33" s="2">
        <v>1</v>
      </c>
      <c r="F33" s="3"/>
      <c r="G33" s="4">
        <v>0.03</v>
      </c>
      <c r="H33" s="4">
        <f t="shared" si="0"/>
        <v>0.03</v>
      </c>
    </row>
    <row r="34" ht="38.4" spans="1:8">
      <c r="A34" s="22" t="s">
        <v>101</v>
      </c>
      <c r="B34" s="23" t="s">
        <v>102</v>
      </c>
      <c r="C34" s="22" t="s">
        <v>103</v>
      </c>
      <c r="D34" s="22" t="s">
        <v>66</v>
      </c>
      <c r="E34" s="2">
        <v>1</v>
      </c>
      <c r="F34" s="3"/>
      <c r="G34" s="4">
        <v>0.38</v>
      </c>
      <c r="H34" s="4">
        <f t="shared" si="0"/>
        <v>0.38</v>
      </c>
    </row>
    <row r="35" ht="57.6" spans="1:8">
      <c r="A35" s="24" t="s">
        <v>104</v>
      </c>
      <c r="B35" s="24" t="s">
        <v>105</v>
      </c>
      <c r="C35" s="24" t="s">
        <v>106</v>
      </c>
      <c r="D35" s="24" t="s">
        <v>66</v>
      </c>
      <c r="E35" s="6">
        <v>1</v>
      </c>
      <c r="F35" s="8" t="s">
        <v>107</v>
      </c>
      <c r="G35" s="9">
        <v>0.03</v>
      </c>
      <c r="H35" s="9">
        <f t="shared" si="0"/>
        <v>0.03</v>
      </c>
    </row>
    <row r="36" ht="38.4" spans="1:8">
      <c r="A36" s="22" t="s">
        <v>108</v>
      </c>
      <c r="B36" s="23" t="s">
        <v>109</v>
      </c>
      <c r="C36" s="22" t="s">
        <v>110</v>
      </c>
      <c r="D36" s="23" t="s">
        <v>111</v>
      </c>
      <c r="E36" s="2">
        <v>1</v>
      </c>
      <c r="F36" s="3"/>
      <c r="G36" s="4">
        <v>21</v>
      </c>
      <c r="H36" s="4">
        <f t="shared" si="0"/>
        <v>21</v>
      </c>
    </row>
    <row r="37" ht="19.2" spans="1:8">
      <c r="A37" s="22" t="s">
        <v>112</v>
      </c>
      <c r="B37" s="22" t="s">
        <v>113</v>
      </c>
      <c r="C37" s="22" t="s">
        <v>114</v>
      </c>
      <c r="D37" s="22" t="s">
        <v>115</v>
      </c>
      <c r="E37" s="2">
        <v>1</v>
      </c>
      <c r="F37" s="3"/>
      <c r="G37" s="4">
        <v>1.13</v>
      </c>
      <c r="H37" s="4">
        <f t="shared" si="0"/>
        <v>1.13</v>
      </c>
    </row>
    <row r="38" ht="38.4" spans="1:8">
      <c r="A38" s="24" t="s">
        <v>116</v>
      </c>
      <c r="B38" s="24" t="s">
        <v>117</v>
      </c>
      <c r="C38" s="24" t="s">
        <v>118</v>
      </c>
      <c r="D38" s="24" t="s">
        <v>119</v>
      </c>
      <c r="E38" s="6">
        <v>1</v>
      </c>
      <c r="F38" s="8" t="s">
        <v>120</v>
      </c>
      <c r="G38" s="9">
        <v>1.25</v>
      </c>
      <c r="H38" s="9">
        <f t="shared" si="0"/>
        <v>1.25</v>
      </c>
    </row>
    <row r="39" ht="19.2" spans="1:8">
      <c r="A39" s="22" t="s">
        <v>121</v>
      </c>
      <c r="B39" s="22" t="s">
        <v>122</v>
      </c>
      <c r="C39" s="22" t="s">
        <v>123</v>
      </c>
      <c r="D39" s="22" t="s">
        <v>124</v>
      </c>
      <c r="E39" s="2">
        <v>1</v>
      </c>
      <c r="F39" s="3"/>
      <c r="G39" s="4">
        <v>0.42</v>
      </c>
      <c r="H39" s="4">
        <f t="shared" si="0"/>
        <v>0.42</v>
      </c>
    </row>
    <row r="40" ht="40.8" spans="1:8">
      <c r="A40" s="11" t="s">
        <v>125</v>
      </c>
      <c r="B40" s="12" t="s">
        <v>126</v>
      </c>
      <c r="C40" s="11" t="s">
        <v>127</v>
      </c>
      <c r="D40" s="11" t="s">
        <v>128</v>
      </c>
      <c r="E40" s="11">
        <v>2</v>
      </c>
      <c r="F40" s="12" t="s">
        <v>129</v>
      </c>
      <c r="G40" s="4">
        <v>0.546</v>
      </c>
      <c r="H40" s="2">
        <f>E40*G40</f>
        <v>1.092</v>
      </c>
    </row>
    <row r="41" ht="187.65" customHeight="1" spans="1:8">
      <c r="A41" s="11" t="s">
        <v>130</v>
      </c>
      <c r="B41" s="12" t="s">
        <v>131</v>
      </c>
      <c r="C41" s="11" t="s">
        <v>127</v>
      </c>
      <c r="D41" s="11"/>
      <c r="E41" s="11">
        <v>1</v>
      </c>
      <c r="F41" s="11"/>
      <c r="G41" s="13">
        <v>1.1</v>
      </c>
      <c r="H41" s="14">
        <f>G41*E41</f>
        <v>1.1</v>
      </c>
    </row>
    <row r="42" ht="20.4" spans="1:8">
      <c r="A42" s="15" t="s">
        <v>132</v>
      </c>
      <c r="B42" s="16"/>
      <c r="C42" s="16"/>
      <c r="D42" s="16"/>
      <c r="E42" s="17"/>
      <c r="F42" s="17"/>
      <c r="G42" s="18">
        <f>SUM(H2:H41)</f>
        <v>106.212</v>
      </c>
      <c r="H42" s="18"/>
    </row>
    <row r="43" ht="22.2" spans="1:8">
      <c r="A43" s="19" t="s">
        <v>133</v>
      </c>
      <c r="B43" s="19"/>
      <c r="C43" s="19"/>
      <c r="D43" s="19"/>
      <c r="E43" s="20">
        <f>SUM(E2:E41)</f>
        <v>58</v>
      </c>
      <c r="F43" s="20"/>
      <c r="G43" s="20"/>
      <c r="H43" s="20"/>
    </row>
  </sheetData>
  <mergeCells count="4">
    <mergeCell ref="A42:F42"/>
    <mergeCell ref="G42:H42"/>
    <mergeCell ref="A43:D43"/>
    <mergeCell ref="E43:H4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禁赛版风扇把手驱动-BOM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redstoner_35</dc:creator>
  <cp:lastModifiedBy>redstoner_35</cp:lastModifiedBy>
  <dcterms:created xsi:type="dcterms:W3CDTF">2026-09-03T08:09:00Z</dcterms:created>
  <dcterms:modified xsi:type="dcterms:W3CDTF">2026-09-03T08:36:01Z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D542EA51A2F24B509473665E459A30BC_11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