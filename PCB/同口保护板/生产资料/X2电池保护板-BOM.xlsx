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同口保护板\生产资料\"/>
    </mc:Choice>
  </mc:AlternateContent>
  <bookViews>
    <workbookView windowWidth="29868" windowHeight="15420"/>
  </bookViews>
  <sheets>
    <sheet name="X2电池保护板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<sst xmlns="http://schemas.openxmlformats.org/spreadsheetml/2006/main" count="139" uniqueCount="112">
  <si>
    <r>
      <rPr>
        <sz val="14"/>
        <color rgb="FF000000"/>
        <rFont val="宋体"/>
        <charset val="134"/>
      </rPr>
      <t>料号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规格</t>
    </r>
  </si>
  <si>
    <t>描述</t>
  </si>
  <si>
    <t>位号</t>
  </si>
  <si>
    <t>封装</t>
  </si>
  <si>
    <t>数量</t>
  </si>
  <si>
    <t>参考图片/备注</t>
  </si>
  <si>
    <t>单价</t>
  </si>
  <si>
    <t>总价</t>
  </si>
  <si>
    <t>100nF (104) 10% 50V</t>
  </si>
  <si>
    <t>贴片电容</t>
  </si>
  <si>
    <t>C1, C2, C3, C4, 
C7</t>
  </si>
  <si>
    <t>0402_C</t>
  </si>
  <si>
    <t>GRM188R61E106KA73D</t>
  </si>
  <si>
    <t>0603贴片MLCC电容 10uF ±20% 25V X5R</t>
  </si>
  <si>
    <t>C5</t>
  </si>
  <si>
    <t>0603_C</t>
  </si>
  <si>
    <t>33nF (333) 10% 50V</t>
  </si>
  <si>
    <t>C6</t>
  </si>
  <si>
    <t>白灯 0603</t>
  </si>
  <si>
    <t>0603尺寸发光二极管</t>
  </si>
  <si>
    <t>D1, D2, D3, D5</t>
  </si>
  <si>
    <t>0603_LED_S1</t>
  </si>
  <si>
    <t>这个地方对于LED颜色没
有要求，你可以根据自己的喜好自行选择</t>
  </si>
  <si>
    <t>B5819WS S4</t>
  </si>
  <si>
    <t>二极管</t>
  </si>
  <si>
    <t>D4, D6, D7</t>
  </si>
  <si>
    <t>SOD-323</t>
  </si>
  <si>
    <t>IQDH29NE2LM5CG</t>
  </si>
  <si>
    <t>英飞凌MOSFET 25V 789A 0.2mΩ @ 10V
 WHTFN-9(PDFN5x6源极底置)封装</t>
  </si>
  <si>
    <t>Q1, Q2, Q3, Q4, 
Q5, Q6, Q7, Q8</t>
  </si>
  <si>
    <t>IFX-PG-WHTFN-9-2-V</t>
  </si>
  <si>
    <t>WSD4280DN22</t>
  </si>
  <si>
    <t>内置肖特基二极管的双P沟道MOS -15V 
-4.6A 45mΩ @ 4.5V DFN2x2封装</t>
  </si>
  <si>
    <t>Q9, Q13, Q17, Q21</t>
  </si>
  <si>
    <t>UDFN-6_L2.0-W2.0-
P0.65-BL</t>
  </si>
  <si>
    <t>2N7002KW</t>
  </si>
  <si>
    <t>单N沟道MOSFET(场效应管)</t>
  </si>
  <si>
    <t>Q10, Q14, Q18, 
Q22</t>
  </si>
  <si>
    <t>SC70-3</t>
  </si>
  <si>
    <t>SS8550 Y2</t>
  </si>
  <si>
    <t>PNP三极管，SOT-323 封装</t>
  </si>
  <si>
    <t>Q11, Q15, Q19, 
Q23</t>
  </si>
  <si>
    <t>AON2408</t>
  </si>
  <si>
    <t>MOS(场效应管)</t>
  </si>
  <si>
    <t>Q12, Q16, Q20,
 Q24</t>
  </si>
  <si>
    <t>PDFN-6_L2.0-W2.0-
P0.65-BL-EP</t>
  </si>
  <si>
    <t>BSS84AKW</t>
  </si>
  <si>
    <t>单P沟道小信号MOSFET(场效应管)</t>
  </si>
  <si>
    <t>Q25, Q26</t>
  </si>
  <si>
    <t>JER1206F1R004</t>
  </si>
  <si>
    <t>贴片合金电流检测电阻 1206封装 4mΩ 
±1% 1W</t>
  </si>
  <si>
    <t>R1, R2</t>
  </si>
  <si>
    <t>1206R</t>
  </si>
  <si>
    <t>JER1206F1R003</t>
  </si>
  <si>
    <t>贴片合金电流检测电阻 1206封装 3mΩ 
±1% 1W</t>
  </si>
  <si>
    <t>R3, R4, R5, R6</t>
  </si>
  <si>
    <t>1206 2.5mΩ ±1% 1W</t>
  </si>
  <si>
    <t>贴片合金检流电阻 1206 2.5mΩ ±1% 1W</t>
  </si>
  <si>
    <t>R7, R8</t>
  </si>
  <si>
    <t>510KΩ (5103) ±1%</t>
  </si>
  <si>
    <t>贴片电阻</t>
  </si>
  <si>
    <t>R9, R10, R15, R16, 
R23, R24, R30, R31</t>
  </si>
  <si>
    <t>0402_R</t>
  </si>
  <si>
    <t>43Ω</t>
  </si>
  <si>
    <t>1210尺寸厚膜贴片电阻</t>
  </si>
  <si>
    <t>R11, R18, R28, R35</t>
  </si>
  <si>
    <t>1210R</t>
  </si>
  <si>
    <t>220Ω (2200) ±1%</t>
  </si>
  <si>
    <t>R12, R19, R26, R33</t>
  </si>
  <si>
    <t>2KΩ (2001) ±1%</t>
  </si>
  <si>
    <t>R21, R22, R29, R37, R40</t>
  </si>
  <si>
    <t>680Ω 6800) ±1%</t>
  </si>
  <si>
    <t>R13, R20, R27,R34</t>
  </si>
  <si>
    <t>1KΩ (1001) ±1%</t>
  </si>
  <si>
    <t>R14, R17, R25, R32, 
R36</t>
  </si>
  <si>
    <t>20KΩ (2002) ±1%</t>
  </si>
  <si>
    <t>R38</t>
  </si>
  <si>
    <t>91KΩ (9103) ±1%</t>
  </si>
  <si>
    <t>R39</t>
  </si>
  <si>
    <t>5.6MΩ (5604) ±1%</t>
  </si>
  <si>
    <t>R41, R42, R43, R44</t>
  </si>
  <si>
    <t>SDNT1005X104F3950FTF</t>
  </si>
  <si>
    <t>100KΩ (1003) ±1% B3950 
NTC片式贴片热敏电阻</t>
  </si>
  <si>
    <t>R45</t>
  </si>
  <si>
    <t>CM1341-FKT</t>
  </si>
  <si>
    <t>4串三元锂电池带均衡功能保护IC，
SSOP16封装。</t>
  </si>
  <si>
    <t>U1</t>
  </si>
  <si>
    <t>TSSOP16-CM1341</t>
  </si>
  <si>
    <t>Cu_TIN_L10.0_W4.0_H2.0</t>
  </si>
  <si>
    <r>
      <rPr>
        <sz val="14"/>
        <color rgb="FF000000"/>
        <rFont val="宋体"/>
        <charset val="134"/>
      </rPr>
      <t>中通达SMT镀锡铜片，长</t>
    </r>
    <r>
      <rPr>
        <sz val="14"/>
        <color rgb="FF000000"/>
        <rFont val="Segoe UI"/>
        <charset val="134"/>
      </rPr>
      <t>10mm</t>
    </r>
    <r>
      <rPr>
        <sz val="14"/>
        <color rgb="FF000000"/>
        <rFont val="宋体"/>
        <charset val="134"/>
      </rPr>
      <t>，宽度</t>
    </r>
    <r>
      <rPr>
        <sz val="14"/>
        <color rgb="FF000000"/>
        <rFont val="Segoe UI"/>
        <charset val="134"/>
      </rPr>
      <t>4mm</t>
    </r>
    <r>
      <rPr>
        <sz val="14"/>
        <color rgb="FF000000"/>
        <rFont val="宋体"/>
        <charset val="134"/>
      </rPr>
      <t>，厚度</t>
    </r>
    <r>
      <rPr>
        <sz val="14"/>
        <color rgb="FF000000"/>
        <rFont val="Segoe UI"/>
        <charset val="134"/>
      </rPr>
      <t>2mm</t>
    </r>
  </si>
  <si>
    <t>N/A</t>
  </si>
  <si>
    <t>Cu_L10.0_W4.0_H2.0</t>
  </si>
  <si>
    <t>Cu_1AU_L7.0_W4.0_H1.0</t>
  </si>
  <si>
    <r>
      <rPr>
        <sz val="14"/>
        <color rgb="FF000000"/>
        <rFont val="宋体"/>
        <charset val="134"/>
      </rPr>
      <t>中通达SMT镀金铜片，长7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</t>
    </r>
    <r>
      <rPr>
        <sz val="14"/>
        <color rgb="FF000000"/>
        <rFont val="Segoe UI"/>
        <charset val="134"/>
      </rPr>
      <t>4mm</t>
    </r>
    <r>
      <rPr>
        <sz val="14"/>
        <color rgb="FF000000"/>
        <rFont val="宋体"/>
        <charset val="134"/>
      </rPr>
      <t>，厚度1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</si>
  <si>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Cu_L7.0_W4.0_H2.0</t>
  </si>
  <si>
    <t>Cu_1AU_L5.0_W2.0_H0.8</t>
  </si>
  <si>
    <r>
      <rPr>
        <sz val="14"/>
        <color rgb="FF000000"/>
        <rFont val="宋体"/>
        <charset val="134"/>
      </rPr>
      <t>中通达SMT镀金铜片，长5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，厚度0.8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</si>
  <si>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Cu_L5.0_W2.0_H0.8</t>
  </si>
  <si>
    <t>Cu_1AU_L2.5_W2.5_H1.9</t>
  </si>
  <si>
    <r>
      <rPr>
        <sz val="14"/>
        <color rgb="FF000000"/>
        <rFont val="宋体"/>
        <charset val="134"/>
      </rPr>
      <t>中通达SMT镀金铜粒，长2.5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，宽度2.5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，厚度1.9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</si>
  <si>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Cu_L2.5_W2.5_H1.9</t>
  </si>
  <si>
    <t>Cu_1AU_L4.0_W2.0_H2.0</t>
  </si>
  <si>
    <r>
      <rPr>
        <sz val="14"/>
        <color rgb="FF000000"/>
        <rFont val="宋体"/>
        <charset val="134"/>
      </rPr>
      <t>中通达SMT镀金铜条，长4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</si>
  <si>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Cu_L4.0_W2.0_H2.0</t>
  </si>
  <si>
    <t>Cu_1AU_L8.0_W2.0_H1.0</t>
  </si>
  <si>
    <r>
      <rPr>
        <sz val="14"/>
        <color rgb="FF000000"/>
        <rFont val="宋体"/>
        <charset val="134"/>
      </rPr>
      <t>中通达SMT镀金铜条，长8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，厚度1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</si>
  <si>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Cu_L8.0_W2.0_H1.0</t>
  </si>
  <si>
    <t>Cu_1AU_L2.0_W2.0_H1.5</t>
  </si>
  <si>
    <r>
      <rPr>
        <sz val="14"/>
        <color rgb="FF000000"/>
        <rFont val="宋体"/>
        <charset val="134"/>
      </rPr>
      <t>中通达SMT镀金铜条，长2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，宽度2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，厚度1.5</t>
    </r>
    <r>
      <rPr>
        <sz val="14"/>
        <color rgb="FF000000"/>
        <rFont val="Segoe UI"/>
        <charset val="134"/>
      </rPr>
      <t>mm</t>
    </r>
    <r>
      <rPr>
        <sz val="14"/>
        <color rgb="FF000000"/>
        <rFont val="宋体"/>
        <charset val="134"/>
      </rPr>
      <t>，镀金厚度1U</t>
    </r>
  </si>
  <si>
    <t>Cu_L2.0_W2.0_H1.5</t>
  </si>
  <si>
    <t>保护板物料总价</t>
  </si>
  <si>
    <t>保护板元器件总数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</si>
</sst>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4"/>
      <color rgb="FF000000"/>
      <name val="Segoe UI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8" workbookViewId="0">
      <selection activeCell="J21" sqref="J21"/>
    </sheetView>
  </sheetViews>
  <sheetFormatPr defaultColWidth="8.88888888888889" defaultRowHeight="14.4" outlineLevelCol="7"/>
  <cols>
    <col min="1" max="1" width="31.7777777777778" customWidth="1"/>
    <col min="2" max="2" width="49.3333333333333" customWidth="1"/>
    <col min="3" max="3" width="24.5555555555556" customWidth="1"/>
    <col min="4" max="4" width="28.5555555555556" customWidth="1"/>
    <col min="5" max="5" width="16.7314814814815" customWidth="1"/>
    <col min="6" max="6" width="29.4444444444444" customWidth="1"/>
    <col min="7" max="7" width="9.11111111111111"/>
  </cols>
  <sheetData>
    <row r="1" ht="20.4" spans="1:8">
      <c r="A1" s="12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1" t="s">
        <v>5</v>
      </c>
      <c r="G1" s="1" t="s">
        <v>6</v>
      </c>
      <c r="H1" s="1" t="s">
        <v>7</v>
      </c>
    </row>
    <row r="2" ht="38.4" spans="1:8">
      <c r="A2" s="13" t="s">
        <v>8</v>
      </c>
      <c r="B2" s="13" t="s">
        <v>9</v>
      </c>
      <c r="C2" s="14" t="s">
        <v>10</v>
      </c>
      <c r="D2" s="13" t="s">
        <v>11</v>
      </c>
      <c r="E2" s="2">
        <v>5</v>
      </c>
      <c r="F2" s="2"/>
      <c r="G2" s="2"/>
      <c r="H2" s="2">
        <f>E2*G2</f>
        <v>0</v>
      </c>
    </row>
    <row r="3" ht="19.2" spans="1:8">
      <c r="A3" s="13" t="s">
        <v>12</v>
      </c>
      <c r="B3" s="13" t="s">
        <v>13</v>
      </c>
      <c r="C3" s="13" t="s">
        <v>14</v>
      </c>
      <c r="D3" s="13" t="s">
        <v>15</v>
      </c>
      <c r="E3" s="2">
        <v>1</v>
      </c>
      <c r="F3" s="2"/>
      <c r="G3" s="2">
        <v>1.06</v>
      </c>
      <c r="H3" s="2">
        <f>E3*G3</f>
        <v>1.06</v>
      </c>
    </row>
    <row r="4" ht="19.2" spans="1:8">
      <c r="A4" s="13" t="s">
        <v>16</v>
      </c>
      <c r="B4" s="13" t="s">
        <v>9</v>
      </c>
      <c r="C4" s="13" t="s">
        <v>17</v>
      </c>
      <c r="D4" s="13" t="s">
        <v>11</v>
      </c>
      <c r="E4" s="2">
        <v>1</v>
      </c>
      <c r="F4" s="2"/>
      <c r="G4" s="2">
        <v>0.07</v>
      </c>
      <c r="H4" s="2">
        <f>E4*G4</f>
        <v>0.07</v>
      </c>
    </row>
    <row r="5" ht="57.6" spans="1:8">
      <c r="A5" s="13" t="s">
        <v>18</v>
      </c>
      <c r="B5" s="13" t="s">
        <v>19</v>
      </c>
      <c r="C5" s="13" t="s">
        <v>20</v>
      </c>
      <c r="D5" s="13" t="s">
        <v>21</v>
      </c>
      <c r="E5" s="2">
        <v>4</v>
      </c>
      <c r="F5" s="3" t="s">
        <v>22</v>
      </c>
      <c r="G5" s="2">
        <v>0.02</v>
      </c>
      <c r="H5" s="2">
        <f>E5*G5</f>
        <v>0.08</v>
      </c>
    </row>
    <row r="6" ht="19.2" spans="1:8">
      <c r="A6" s="13" t="s">
        <v>23</v>
      </c>
      <c r="B6" s="13" t="s">
        <v>24</v>
      </c>
      <c r="C6" s="13" t="s">
        <v>25</v>
      </c>
      <c r="D6" s="13" t="s">
        <v>26</v>
      </c>
      <c r="E6" s="2">
        <v>3</v>
      </c>
      <c r="F6" s="2"/>
      <c r="G6" s="2">
        <v>0.183</v>
      </c>
      <c r="H6" s="2">
        <f>E6*G6</f>
        <v>0.549</v>
      </c>
    </row>
    <row r="7" ht="38.4" spans="1:8">
      <c r="A7" s="13" t="s">
        <v>27</v>
      </c>
      <c r="B7" s="14" t="s">
        <v>28</v>
      </c>
      <c r="C7" s="14" t="s">
        <v>29</v>
      </c>
      <c r="D7" s="13" t="s">
        <v>30</v>
      </c>
      <c r="E7" s="2">
        <v>8</v>
      </c>
      <c r="F7" s="2"/>
      <c r="G7" s="2">
        <v>26.45</v>
      </c>
      <c r="H7" s="2">
        <f t="shared" ref="H7:H25" si="0">E7*G7</f>
        <v>211.6</v>
      </c>
    </row>
    <row r="8" ht="38.4" spans="1:8">
      <c r="A8" s="13" t="s">
        <v>31</v>
      </c>
      <c r="B8" s="14" t="s">
        <v>32</v>
      </c>
      <c r="C8" s="13" t="s">
        <v>33</v>
      </c>
      <c r="D8" s="14" t="s">
        <v>34</v>
      </c>
      <c r="E8" s="2">
        <v>4</v>
      </c>
      <c r="F8" s="2"/>
      <c r="G8" s="2">
        <v>1.36</v>
      </c>
      <c r="H8" s="2">
        <f t="shared" si="0"/>
        <v>5.44</v>
      </c>
    </row>
    <row r="9" ht="38.4" spans="1:8">
      <c r="A9" s="13" t="s">
        <v>35</v>
      </c>
      <c r="B9" s="13" t="s">
        <v>36</v>
      </c>
      <c r="C9" s="14" t="s">
        <v>37</v>
      </c>
      <c r="D9" s="13" t="s">
        <v>38</v>
      </c>
      <c r="E9" s="2">
        <v>4</v>
      </c>
      <c r="F9" s="2"/>
      <c r="G9" s="2">
        <v>0.19</v>
      </c>
      <c r="H9" s="2">
        <f t="shared" si="0"/>
        <v>0.76</v>
      </c>
    </row>
    <row r="10" ht="38.4" spans="1:8">
      <c r="A10" s="13" t="s">
        <v>39</v>
      </c>
      <c r="B10" s="13" t="s">
        <v>40</v>
      </c>
      <c r="C10" s="14" t="s">
        <v>41</v>
      </c>
      <c r="D10" s="13" t="s">
        <v>38</v>
      </c>
      <c r="E10" s="2">
        <v>4</v>
      </c>
      <c r="F10" s="2"/>
      <c r="G10" s="2">
        <v>0.17</v>
      </c>
      <c r="H10" s="2">
        <f t="shared" si="0"/>
        <v>0.68</v>
      </c>
    </row>
    <row r="11" ht="38.4" spans="1:8">
      <c r="A11" s="13" t="s">
        <v>42</v>
      </c>
      <c r="B11" s="13" t="s">
        <v>43</v>
      </c>
      <c r="C11" s="14" t="s">
        <v>44</v>
      </c>
      <c r="D11" s="14" t="s">
        <v>45</v>
      </c>
      <c r="E11" s="2">
        <v>4</v>
      </c>
      <c r="F11" s="2"/>
      <c r="G11" s="2">
        <v>1.88</v>
      </c>
      <c r="H11" s="2">
        <f t="shared" si="0"/>
        <v>7.52</v>
      </c>
    </row>
    <row r="12" ht="19.2" spans="1:8">
      <c r="A12" s="13" t="s">
        <v>46</v>
      </c>
      <c r="B12" s="13" t="s">
        <v>47</v>
      </c>
      <c r="C12" s="13" t="s">
        <v>48</v>
      </c>
      <c r="D12" s="13" t="s">
        <v>38</v>
      </c>
      <c r="E12" s="2">
        <v>2</v>
      </c>
      <c r="F12" s="2"/>
      <c r="G12" s="2">
        <v>0.75</v>
      </c>
      <c r="H12" s="2">
        <f t="shared" si="0"/>
        <v>1.5</v>
      </c>
    </row>
    <row r="13" ht="38.4" spans="1:8">
      <c r="A13" s="13" t="s">
        <v>49</v>
      </c>
      <c r="B13" s="14" t="s">
        <v>50</v>
      </c>
      <c r="C13" s="13" t="s">
        <v>51</v>
      </c>
      <c r="D13" s="13" t="s">
        <v>52</v>
      </c>
      <c r="E13" s="2">
        <v>2</v>
      </c>
      <c r="F13" s="2"/>
      <c r="G13" s="2">
        <v>0.31</v>
      </c>
      <c r="H13" s="2">
        <f t="shared" si="0"/>
        <v>0.62</v>
      </c>
    </row>
    <row r="14" ht="38.4" spans="1:8">
      <c r="A14" s="13" t="s">
        <v>53</v>
      </c>
      <c r="B14" s="14" t="s">
        <v>54</v>
      </c>
      <c r="C14" s="13" t="s">
        <v>55</v>
      </c>
      <c r="D14" s="13" t="s">
        <v>52</v>
      </c>
      <c r="E14" s="2">
        <v>4</v>
      </c>
      <c r="F14" s="2"/>
      <c r="G14" s="2">
        <v>0.31</v>
      </c>
      <c r="H14" s="2">
        <f t="shared" si="0"/>
        <v>1.24</v>
      </c>
    </row>
    <row r="15" ht="19.2" spans="1:8">
      <c r="A15" s="13" t="s">
        <v>56</v>
      </c>
      <c r="B15" s="13" t="s">
        <v>57</v>
      </c>
      <c r="C15" s="13" t="s">
        <v>58</v>
      </c>
      <c r="D15" s="13" t="s">
        <v>52</v>
      </c>
      <c r="E15" s="2">
        <v>2</v>
      </c>
      <c r="F15" s="2"/>
      <c r="G15" s="2">
        <v>0.31</v>
      </c>
      <c r="H15" s="2">
        <f t="shared" si="0"/>
        <v>0.62</v>
      </c>
    </row>
    <row r="16" ht="38.4" spans="1:8">
      <c r="A16" s="13" t="s">
        <v>59</v>
      </c>
      <c r="B16" s="13" t="s">
        <v>60</v>
      </c>
      <c r="C16" s="14" t="s">
        <v>61</v>
      </c>
      <c r="D16" s="13" t="s">
        <v>62</v>
      </c>
      <c r="E16" s="2">
        <v>8</v>
      </c>
      <c r="F16" s="2"/>
      <c r="G16" s="2">
        <v>0.03</v>
      </c>
      <c r="H16" s="2">
        <f t="shared" si="0"/>
        <v>0.24</v>
      </c>
    </row>
    <row r="17" ht="19.2" spans="1:8">
      <c r="A17" s="13" t="s">
        <v>63</v>
      </c>
      <c r="B17" s="13" t="s">
        <v>64</v>
      </c>
      <c r="C17" s="13" t="s">
        <v>65</v>
      </c>
      <c r="D17" s="13" t="s">
        <v>66</v>
      </c>
      <c r="E17" s="2">
        <v>4</v>
      </c>
      <c r="F17" s="2"/>
      <c r="G17" s="2">
        <v>0.055</v>
      </c>
      <c r="H17" s="2">
        <f t="shared" si="0"/>
        <v>0.22</v>
      </c>
    </row>
    <row r="18" ht="19.2" spans="1:8">
      <c r="A18" s="13" t="s">
        <v>67</v>
      </c>
      <c r="B18" s="13" t="s">
        <v>60</v>
      </c>
      <c r="C18" s="13" t="s">
        <v>68</v>
      </c>
      <c r="D18" s="13" t="s">
        <v>62</v>
      </c>
      <c r="E18" s="2">
        <v>4</v>
      </c>
      <c r="F18" s="2"/>
      <c r="G18" s="2">
        <v>0.03</v>
      </c>
      <c r="H18" s="2">
        <f t="shared" si="0"/>
        <v>0.12</v>
      </c>
    </row>
    <row r="19" ht="38.4" spans="1:8">
      <c r="A19" s="13" t="s">
        <v>69</v>
      </c>
      <c r="B19" s="13" t="s">
        <v>60</v>
      </c>
      <c r="C19" s="4" t="s">
        <v>70</v>
      </c>
      <c r="D19" s="13" t="s">
        <v>62</v>
      </c>
      <c r="E19" s="2">
        <v>5</v>
      </c>
      <c r="F19" s="2"/>
      <c r="G19" s="2">
        <v>0.03</v>
      </c>
      <c r="H19" s="2">
        <f t="shared" si="0"/>
        <v>0.15</v>
      </c>
    </row>
    <row r="20" ht="19.2" spans="1:8">
      <c r="A20" s="13" t="s">
        <v>71</v>
      </c>
      <c r="B20" s="2" t="s">
        <v>60</v>
      </c>
      <c r="C20" s="4" t="s">
        <v>72</v>
      </c>
      <c r="D20" s="2" t="s">
        <v>62</v>
      </c>
      <c r="E20" s="2">
        <v>4</v>
      </c>
      <c r="F20" s="2"/>
      <c r="G20" s="2">
        <v>0.03</v>
      </c>
      <c r="H20" s="2">
        <f>E20*G20</f>
        <v>0.12</v>
      </c>
    </row>
    <row r="21" ht="38.4" spans="1:8">
      <c r="A21" s="13" t="s">
        <v>73</v>
      </c>
      <c r="B21" s="13" t="s">
        <v>60</v>
      </c>
      <c r="C21" s="14" t="s">
        <v>74</v>
      </c>
      <c r="D21" s="13" t="s">
        <v>62</v>
      </c>
      <c r="E21" s="2">
        <v>5</v>
      </c>
      <c r="F21" s="2"/>
      <c r="G21" s="2">
        <v>0.03</v>
      </c>
      <c r="H21" s="2">
        <f>E21*G21</f>
        <v>0.15</v>
      </c>
    </row>
    <row r="22" ht="19.2" spans="1:8">
      <c r="A22" s="13" t="s">
        <v>75</v>
      </c>
      <c r="B22" s="13" t="s">
        <v>60</v>
      </c>
      <c r="C22" s="13" t="s">
        <v>76</v>
      </c>
      <c r="D22" s="13" t="s">
        <v>62</v>
      </c>
      <c r="E22" s="2">
        <v>1</v>
      </c>
      <c r="F22" s="2"/>
      <c r="G22" s="2">
        <v>0.03</v>
      </c>
      <c r="H22" s="2">
        <f>E22*G22</f>
        <v>0.03</v>
      </c>
    </row>
    <row r="23" ht="19.2" spans="1:8">
      <c r="A23" s="13" t="s">
        <v>77</v>
      </c>
      <c r="B23" s="13" t="s">
        <v>60</v>
      </c>
      <c r="C23" s="13" t="s">
        <v>78</v>
      </c>
      <c r="D23" s="13" t="s">
        <v>62</v>
      </c>
      <c r="E23" s="2">
        <v>1</v>
      </c>
      <c r="F23" s="2"/>
      <c r="G23" s="2">
        <v>0.03</v>
      </c>
      <c r="H23" s="2">
        <f>E23*G23</f>
        <v>0.03</v>
      </c>
    </row>
    <row r="24" ht="19.2" spans="1:8">
      <c r="A24" s="13" t="s">
        <v>79</v>
      </c>
      <c r="B24" s="13" t="s">
        <v>60</v>
      </c>
      <c r="C24" s="13" t="s">
        <v>80</v>
      </c>
      <c r="D24" s="13" t="s">
        <v>62</v>
      </c>
      <c r="E24" s="2">
        <v>4</v>
      </c>
      <c r="F24" s="2"/>
      <c r="G24" s="2">
        <v>0.03</v>
      </c>
      <c r="H24" s="2">
        <f>E24*G24</f>
        <v>0.12</v>
      </c>
    </row>
    <row r="25" ht="38.4" spans="1:8">
      <c r="A25" s="13" t="s">
        <v>81</v>
      </c>
      <c r="B25" s="14" t="s">
        <v>82</v>
      </c>
      <c r="C25" s="13" t="s">
        <v>83</v>
      </c>
      <c r="D25" s="13" t="s">
        <v>62</v>
      </c>
      <c r="E25" s="2">
        <v>1</v>
      </c>
      <c r="F25" s="2"/>
      <c r="G25" s="2">
        <v>0.1</v>
      </c>
      <c r="H25" s="2">
        <f>E25*G25</f>
        <v>0.1</v>
      </c>
    </row>
    <row r="26" ht="38.4" spans="1:8">
      <c r="A26" s="13" t="s">
        <v>84</v>
      </c>
      <c r="B26" s="14" t="s">
        <v>85</v>
      </c>
      <c r="C26" s="13" t="s">
        <v>86</v>
      </c>
      <c r="D26" s="13" t="s">
        <v>87</v>
      </c>
      <c r="E26" s="2">
        <v>1</v>
      </c>
      <c r="F26" s="2"/>
      <c r="G26" s="2">
        <v>3.5</v>
      </c>
      <c r="H26" s="2">
        <f>E26*G26</f>
        <v>3.5</v>
      </c>
    </row>
    <row r="27" ht="43" customHeight="1" spans="1:8">
      <c r="A27" s="5" t="s">
        <v>88</v>
      </c>
      <c r="B27" s="6" t="s">
        <v>89</v>
      </c>
      <c r="C27" s="5" t="s">
        <v>90</v>
      </c>
      <c r="D27" s="5" t="s">
        <v>91</v>
      </c>
      <c r="E27" s="5">
        <v>2</v>
      </c>
      <c r="F27" s="7"/>
      <c r="G27" s="5">
        <v>0.7</v>
      </c>
      <c r="H27" s="2">
        <f t="shared" ref="H27:H33" si="1">E27*G27</f>
        <v>1.4</v>
      </c>
    </row>
    <row r="28" ht="40.8" spans="1:8">
      <c r="A28" s="5" t="s">
        <v>92</v>
      </c>
      <c r="B28" s="6" t="s">
        <v>93</v>
      </c>
      <c r="C28" s="5" t="s">
        <v>90</v>
      </c>
      <c r="D28" s="5" t="s">
        <v>94</v>
      </c>
      <c r="E28" s="5">
        <v>5</v>
      </c>
      <c r="F28" s="7"/>
      <c r="G28" s="5">
        <v>0.482</v>
      </c>
      <c r="H28" s="2">
        <f t="shared" si="1"/>
        <v>2.41</v>
      </c>
    </row>
    <row r="29" ht="40.8" spans="1:8">
      <c r="A29" s="5" t="s">
        <v>95</v>
      </c>
      <c r="B29" s="6" t="s">
        <v>96</v>
      </c>
      <c r="C29" s="5" t="s">
        <v>90</v>
      </c>
      <c r="D29" s="5" t="s">
        <v>97</v>
      </c>
      <c r="E29" s="5">
        <v>4</v>
      </c>
      <c r="F29" s="7"/>
      <c r="G29" s="5">
        <v>0.297</v>
      </c>
      <c r="H29" s="2">
        <f t="shared" si="1"/>
        <v>1.188</v>
      </c>
    </row>
    <row r="30" ht="40.8" spans="1:8">
      <c r="A30" s="5" t="s">
        <v>98</v>
      </c>
      <c r="B30" s="6" t="s">
        <v>99</v>
      </c>
      <c r="C30" s="5" t="s">
        <v>90</v>
      </c>
      <c r="D30" s="5" t="s">
        <v>100</v>
      </c>
      <c r="E30" s="5">
        <v>1</v>
      </c>
      <c r="F30" s="7"/>
      <c r="G30" s="5">
        <v>0.403</v>
      </c>
      <c r="H30" s="2">
        <f t="shared" si="1"/>
        <v>0.403</v>
      </c>
    </row>
    <row r="31" ht="40.8" spans="1:8">
      <c r="A31" s="5" t="s">
        <v>101</v>
      </c>
      <c r="B31" s="6" t="s">
        <v>102</v>
      </c>
      <c r="C31" s="5" t="s">
        <v>90</v>
      </c>
      <c r="D31" s="5" t="s">
        <v>103</v>
      </c>
      <c r="E31" s="5">
        <v>3</v>
      </c>
      <c r="F31" s="7"/>
      <c r="G31" s="5">
        <v>0.288</v>
      </c>
      <c r="H31" s="2">
        <f t="shared" si="1"/>
        <v>0.864</v>
      </c>
    </row>
    <row r="32" ht="40.8" spans="1:8">
      <c r="A32" s="5" t="s">
        <v>104</v>
      </c>
      <c r="B32" s="6" t="s">
        <v>105</v>
      </c>
      <c r="C32" s="5" t="s">
        <v>90</v>
      </c>
      <c r="D32" s="5" t="s">
        <v>106</v>
      </c>
      <c r="E32" s="5">
        <v>1</v>
      </c>
      <c r="F32" s="7"/>
      <c r="G32" s="5">
        <v>0.546</v>
      </c>
      <c r="H32" s="2">
        <f t="shared" si="1"/>
        <v>0.546</v>
      </c>
    </row>
    <row r="33" ht="40.8" spans="1:8">
      <c r="A33" s="5" t="s">
        <v>107</v>
      </c>
      <c r="B33" s="6" t="s">
        <v>108</v>
      </c>
      <c r="C33" s="5" t="s">
        <v>90</v>
      </c>
      <c r="D33" s="5" t="s">
        <v>109</v>
      </c>
      <c r="E33" s="5">
        <v>5</v>
      </c>
      <c r="F33" s="7"/>
      <c r="G33" s="5">
        <v>0.236</v>
      </c>
      <c r="H33" s="2">
        <f t="shared" si="1"/>
        <v>1.18</v>
      </c>
    </row>
    <row r="34" ht="20.4" spans="1:8">
      <c r="A34" s="8" t="s">
        <v>110</v>
      </c>
      <c r="B34" s="9"/>
      <c r="C34" s="9"/>
      <c r="D34" s="9"/>
      <c r="E34" s="9"/>
      <c r="F34" s="9"/>
      <c r="G34" s="10">
        <f>SUM(H2:H33)</f>
        <v>244.51</v>
      </c>
      <c r="H34" s="10"/>
    </row>
    <row r="35" ht="22.2" spans="1:8">
      <c r="A35" s="11" t="s">
        <v>111</v>
      </c>
      <c r="B35" s="11"/>
      <c r="C35" s="11"/>
      <c r="D35" s="11"/>
      <c r="E35" s="11">
        <f>SUM(E2:E33)</f>
        <v>107</v>
      </c>
      <c r="F35" s="11"/>
      <c r="G35" s="11"/>
      <c r="H35" s="11"/>
    </row>
  </sheetData>
  <mergeCells count="4">
    <mergeCell ref="A34:F34"/>
    <mergeCell ref="G34:H34"/>
    <mergeCell ref="A35:D35"/>
    <mergeCell ref="E35:H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X2电池保护板-BOM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2026-08-20T05:30:00Z</dcterms:created>
  <dcterms:modified xsi:type="dcterms:W3CDTF">2026-09-10T05:58:33Z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084D37183DB04DA8B8594B0DCC5D8908_11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