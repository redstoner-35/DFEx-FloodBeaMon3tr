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Union-Projects\DFEx_GT-X2\PCB\4S六层GaN驱动\生产资料\"/>
    </mc:Choice>
  </mc:AlternateContent>
  <bookViews>
    <workbookView windowWidth="29868" windowHeight="15420"/>
  </bookViews>
  <sheets>
    <sheet name="XTRBoost-HV GaN-BOM-V1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9EEC4675E0384743873FEC17D11D36C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64780" y="29420820"/>
          <a:ext cx="2583180" cy="2499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E8B6F25255D04B3EA6F79DD21AE0765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764780" y="31220410"/>
          <a:ext cx="1592580" cy="153162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<sst xmlns="http://schemas.openxmlformats.org/spreadsheetml/2006/main" count="378" uniqueCount="291">
  <si>
    <t>料号</t>
  </si>
  <si>
    <t>描述</t>
  </si>
  <si>
    <t>位号</t>
  </si>
  <si>
    <t>封装</t>
  </si>
  <si>
    <t>数量</t>
  </si>
  <si>
    <t>单价</t>
  </si>
  <si>
    <t>总价</t>
  </si>
  <si>
    <t>PA25V470M6x12</t>
  </si>
  <si>
    <t>直插固态电容，耐压25V容量470uF，尺寸D6.3x12</t>
  </si>
  <si>
    <t>C1, C2</t>
  </si>
  <si>
    <t>CAP-D6.3/L12.0</t>
  </si>
  <si>
    <t>SH430V35R680D6x18</t>
  </si>
  <si>
    <t>升阳电子 直插特殊尺寸固态电容 680uF ±20% 35V 
直径63mm长度18mm 2000Hr@105℃</t>
  </si>
  <si>
    <t>C3</t>
  </si>
  <si>
    <t>PH35V330M8X12</t>
  </si>
  <si>
    <t>125°C 5000Hrs 高温耐受直插固态电容。
耐压35V容量330uF，尺寸D8mmxL12mm</t>
  </si>
  <si>
    <t>C4, C16</t>
  </si>
  <si>
    <t>CAP-D8.0/L12.5</t>
  </si>
  <si>
    <t>100nF (104) 10% 50V</t>
  </si>
  <si>
    <t>贴片电容</t>
  </si>
  <si>
    <t>C5, C8, C32, C35, C36, C38, C40,
 C41, C43, C46, C49, C69, C74</t>
  </si>
  <si>
    <t>0402_C</t>
  </si>
  <si>
    <t>GRM155R61E475ME15D</t>
  </si>
  <si>
    <t>0402贴片MLCC电容 4.7uF±20% 25V X5R</t>
  </si>
  <si>
    <t>C6, C68</t>
  </si>
  <si>
    <t>GRM1555C1H682JE01D</t>
  </si>
  <si>
    <t>0402贴片MLCC电容 6.8nF±5% 50V C0G/NP0</t>
  </si>
  <si>
    <t>C7, C48</t>
  </si>
  <si>
    <t>10uF (106) 20% 10V</t>
  </si>
  <si>
    <t>0402贴片电容</t>
  </si>
  <si>
    <t>C9, C61, C63, C64, C71, C75</t>
  </si>
  <si>
    <t>CGA2B1X7R1V224KT000F</t>
  </si>
  <si>
    <t>车规级 0402贴片MLCC电容 35V 220nF±10% X7R</t>
  </si>
  <si>
    <t>C10, C62</t>
  </si>
  <si>
    <t>GRM188R61E106KA73D</t>
  </si>
  <si>
    <t>贴片MLCC电容 25V 10uF±20% X5R</t>
  </si>
  <si>
    <t>C11, C13, C14, C34, C39, C73</t>
  </si>
  <si>
    <t>0603_C</t>
  </si>
  <si>
    <t>TAJA226M016RNJ</t>
  </si>
  <si>
    <t>1206钽电容，22uF (226) ±10% 16V</t>
  </si>
  <si>
    <t>C12</t>
  </si>
  <si>
    <t>CASE-A_3216</t>
  </si>
  <si>
    <t>C2012X5R1A476MTJ00E</t>
  </si>
  <si>
    <t>贴片MLCC电容，X5R 47uF ±20% 10V</t>
  </si>
  <si>
    <t>C15</t>
  </si>
  <si>
    <t>0805_C</t>
  </si>
  <si>
    <t>CC0402JRNPO9BN681</t>
  </si>
  <si>
    <t>0402贴片MLCC电容 NP0材质 680pF ±5% 50V</t>
  </si>
  <si>
    <t>C17</t>
  </si>
  <si>
    <t>47nF (473) 10% 50V</t>
  </si>
  <si>
    <t>C18</t>
  </si>
  <si>
    <t>C3216X5R1V226MTJ00E</t>
  </si>
  <si>
    <t>TDK MLCC电容 X5R 35V 22uF±20%</t>
  </si>
  <si>
    <t>C19, C20, C21, C22, C23, C51, 
C52, C53, C54, C58, C66, C67</t>
  </si>
  <si>
    <t>1206_C</t>
  </si>
  <si>
    <t>GMK325BJ226MM-P</t>
  </si>
  <si>
    <t>1210 MLCC电容 35V 22uF ±20% X5R</t>
  </si>
  <si>
    <t>C24</t>
  </si>
  <si>
    <t>1210_C</t>
  </si>
  <si>
    <t>GRM31CR61E476ME44L</t>
  </si>
  <si>
    <t>1206尺寸村田MLCC 25V 47uF X5R ±20%</t>
  </si>
  <si>
    <t>C25, C26, C27, C28, C29, C30, 
C57, C65</t>
  </si>
  <si>
    <t>GRM1555C1E103JE01D</t>
  </si>
  <si>
    <t>0402贴片MLCC电容 10nF±5% 25V C0G/NP0</t>
  </si>
  <si>
    <t>C31</t>
  </si>
  <si>
    <t>470pF (471) 10% 50V</t>
  </si>
  <si>
    <t>C33</t>
  </si>
  <si>
    <t>150nF (154) 10% 16V</t>
  </si>
  <si>
    <t>C37</t>
  </si>
  <si>
    <t>22uF (226) 20% 25V</t>
  </si>
  <si>
    <t>C42</t>
  </si>
  <si>
    <t>2.2uF (225) 10% 10V</t>
  </si>
  <si>
    <t>C44, C45</t>
  </si>
  <si>
    <t>1nF (102) 10% 50V</t>
  </si>
  <si>
    <t>C47</t>
  </si>
  <si>
    <t>4.7uF (475) 20% 16V</t>
  </si>
  <si>
    <t>C55, C72</t>
  </si>
  <si>
    <t>1.0uF (105) 10% 25V</t>
  </si>
  <si>
    <t>C56</t>
  </si>
  <si>
    <t>GRM1555C1H102FA01D</t>
  </si>
  <si>
    <t>村田0402贴片MLCC电容 1nF ±1% 50V C0G</t>
  </si>
  <si>
    <t>C59, C60</t>
  </si>
  <si>
    <t>22nF (223) 10% 50V</t>
  </si>
  <si>
    <t>C70</t>
  </si>
  <si>
    <t>BAS100CS-AU_R1_000A1</t>
  </si>
  <si>
    <t>超低结电容/漏电流肖特基二极管 0.5A 100V</t>
  </si>
  <si>
    <t>D1, D2</t>
  </si>
  <si>
    <t>SOD-323</t>
  </si>
  <si>
    <t>1N4148WS T4</t>
  </si>
  <si>
    <t>高速开关二极管</t>
  </si>
  <si>
    <t>D3, D8</t>
  </si>
  <si>
    <t>BAV70W A4</t>
  </si>
  <si>
    <t>共阴极高速开关二极管阵列</t>
  </si>
  <si>
    <t>D4</t>
  </si>
  <si>
    <t>SC70-3</t>
  </si>
  <si>
    <t>XL-1608BGWC-06</t>
  </si>
  <si>
    <t>0603(1608)贴片冰蓝色发光二极管 2.7-3.4V 20mA</t>
  </si>
  <si>
    <t>D5, D9</t>
  </si>
  <si>
    <t>LED-0402</t>
  </si>
  <si>
    <t>PT30L80SP</t>
  </si>
  <si>
    <t>30A 80V 肖特基二极管</t>
  </si>
  <si>
    <t>D6</t>
  </si>
  <si>
    <t>TO277</t>
  </si>
  <si>
    <t>B5819WS S4</t>
  </si>
  <si>
    <t>1A电流常规肖特基二极管</t>
  </si>
  <si>
    <t>D7</t>
  </si>
  <si>
    <t>RLSD32A051V</t>
  </si>
  <si>
    <t>单向TVS二极管 5V工作电压 
峰值脉冲电流：21A@8/20us</t>
  </si>
  <si>
    <t>D10</t>
  </si>
  <si>
    <t>MAF1005GAD352AT000</t>
  </si>
  <si>
    <t>贴片铁氧体磁珠 270mA 500R@100MHz</t>
  </si>
  <si>
    <t>FB1</t>
  </si>
  <si>
    <t>0402_L</t>
  </si>
  <si>
    <t>EBMS100505A050</t>
  </si>
  <si>
    <t>贴片磁珠 200mA 5R±25% 100MHz</t>
  </si>
  <si>
    <t>FB2, FB3</t>
  </si>
  <si>
    <t>XAL1580-102ME</t>
  </si>
  <si>
    <t>线艺XAL1580系列电感 1uH 0.93mΩ 73A饱和</t>
  </si>
  <si>
    <t>L1, L2</t>
  </si>
  <si>
    <t>IND_SMD_XAL1580</t>
  </si>
  <si>
    <t>ZEMS252012-220M</t>
  </si>
  <si>
    <t>一体成型TCORE热压功率电感 2.5x2.0mm尺寸 
1.0mm高度 22uH 0.78Ω 1.2A</t>
  </si>
  <si>
    <t>L3, L4</t>
  </si>
  <si>
    <t>SWPA252010S</t>
  </si>
  <si>
    <t>INN100EBD018DAD</t>
  </si>
  <si>
    <t>基于先进GaN技术的100V硅基氮化镓增强型HEMT
晶体管，采用En-FCLGA 5mm x 6mm 封装。</t>
  </si>
  <si>
    <t>Q1, Q3</t>
  </si>
  <si>
    <t>EN-FCLGA-8_L6.0-W5.0-P1.27-BL-EP</t>
  </si>
  <si>
    <t>INN100EA035EAD</t>
  </si>
  <si>
    <t>100V Enhancement-mode GaN Power 
Transistor, 2.7mΩ Gen3.5</t>
  </si>
  <si>
    <t>Q2, Q4, Q6, Q7</t>
  </si>
  <si>
    <t>FCLGA-8_L3.3-W3.3-BL-EP</t>
  </si>
  <si>
    <t>IAUCN04S7L004ATMA1</t>
  </si>
  <si>
    <t>0.44mΩ 40V 逻辑电平 OptiMOS 7 
车规级MOSFET</t>
  </si>
  <si>
    <t>Q5</t>
  </si>
  <si>
    <t>SuperSO8_L6.0_W5.0_FusedLead</t>
  </si>
  <si>
    <t>ASR-M-3-0.75F</t>
  </si>
  <si>
    <t>业展ASR系列精密检流电阻，2512 0.75mΩ±1% 
锰铜材质 &lt;50ppm/K P70℃=5W</t>
  </si>
  <si>
    <t>R1, R2</t>
  </si>
  <si>
    <t>RES_2512</t>
  </si>
  <si>
    <t>1Ω (1R00) ±1%</t>
  </si>
  <si>
    <t>贴片电阻</t>
  </si>
  <si>
    <t>R3</t>
  </si>
  <si>
    <t>0402_R</t>
  </si>
  <si>
    <t>16.2KΩ (1622) ±1%</t>
  </si>
  <si>
    <t>R4</t>
  </si>
  <si>
    <t>2KΩ (2001) ±1%</t>
  </si>
  <si>
    <t>R5, R31</t>
  </si>
  <si>
    <t>1.2KΩ (1201) ±1%</t>
  </si>
  <si>
    <t>R15</t>
  </si>
  <si>
    <t>1.5Ω (1R50) ±1%</t>
  </si>
  <si>
    <t>R6, R9, R44, R46</t>
  </si>
  <si>
    <t>PTFR0402B51R0N9</t>
  </si>
  <si>
    <t>0402贴片薄膜高精密电阻 51Ω ±0.1% 62.5mW 
25PPM</t>
  </si>
  <si>
    <t>R7, R43</t>
  </si>
  <si>
    <t>0.5Ω (0R50) ±1%</t>
  </si>
  <si>
    <t>R10, R47,R8, R45</t>
  </si>
  <si>
    <t>RT0402BRD0720KL</t>
  </si>
  <si>
    <t>0402贴片薄膜高精密电阻 20KΩ ±0.1% 62.5mW 
25PPM</t>
  </si>
  <si>
    <t>R11</t>
  </si>
  <si>
    <t>4.7KΩ (4701) ±1%</t>
  </si>
  <si>
    <t>R12, R32</t>
  </si>
  <si>
    <t>MCSM2512DR001K9</t>
  </si>
  <si>
    <t>精密低温漂束焊模压合金检流电阻 车规级别 
1.0mΩ ±0.5% 3W</t>
  </si>
  <si>
    <t>R13</t>
  </si>
  <si>
    <t>RT0402BRD07130KL</t>
  </si>
  <si>
    <t>0402贴片薄膜高精密电阻 130KΩ ±0.1% 62.5mW 
25PPM</t>
  </si>
  <si>
    <t>R14</t>
  </si>
  <si>
    <t>1.2MΩ (1204) ±1%</t>
  </si>
  <si>
    <t>R16</t>
  </si>
  <si>
    <t>AT0402BRD0791KL</t>
  </si>
  <si>
    <t>0402贴片薄膜高精密电阻 91KΩ ±0.1% 62.5mW 
25PPM</t>
  </si>
  <si>
    <t>R17</t>
  </si>
  <si>
    <t>10KΩ (1002) ±1%</t>
  </si>
  <si>
    <t>R18, R19, R26, R27, R54, R55</t>
  </si>
  <si>
    <t>RE0402BRF07820KL</t>
  </si>
  <si>
    <t>0402精密低温飘贴片电阻 820K±0.1% 62.5mW</t>
  </si>
  <si>
    <t>R20</t>
  </si>
  <si>
    <t>AR02BTD4703</t>
  </si>
  <si>
    <t>0402 贴片薄膜高精密低温飘电阻 470KΩ±0.1% 
25PPM</t>
  </si>
  <si>
    <t>R21, R34</t>
  </si>
  <si>
    <t>ERA2AEB104X</t>
  </si>
  <si>
    <t>松下 0402精密低温飘贴片电阻 100±0.1% 62.5mW</t>
  </si>
  <si>
    <t>R22</t>
  </si>
  <si>
    <t>RT0402BRD0756KL</t>
  </si>
  <si>
    <t>0402薄膜贴片高精密电阻 56K±0.1% 62.5mW</t>
  </si>
  <si>
    <t>R23</t>
  </si>
  <si>
    <t>20KΩ (2002) ±1%</t>
  </si>
  <si>
    <t>R24, R25, R53</t>
  </si>
  <si>
    <t>1KΩ (1001) ±1%</t>
  </si>
  <si>
    <t>R28</t>
  </si>
  <si>
    <t>RC0402DR-07330KL</t>
  </si>
  <si>
    <t>0402厚膜较高精度贴片电阻 330KΩ±0.5% 62.5mW</t>
  </si>
  <si>
    <t>R29</t>
  </si>
  <si>
    <t>FNTC0402X104D4250DB</t>
  </si>
  <si>
    <t>0402尺寸贴片式NTC热敏电阻 
B25-85℃=4310±0.5% R25=100KΩ±0.5%</t>
  </si>
  <si>
    <t>R30</t>
  </si>
  <si>
    <t>ERA2AEB912X</t>
  </si>
  <si>
    <t>松下高精密0402贴片薄膜电阻 9.1KΩ ±0.1% 
62.5mW 5PPM</t>
  </si>
  <si>
    <t>R33</t>
  </si>
  <si>
    <t>RT0402BRD0782K5L</t>
  </si>
  <si>
    <t>薄膜低温飘高精密电阻 82.5KΩ (8242) ± 0.1% 
25PPM</t>
  </si>
  <si>
    <t>R35</t>
  </si>
  <si>
    <t>5.1Ω (5R10) ±1%</t>
  </si>
  <si>
    <t>R36, R37</t>
  </si>
  <si>
    <t>0603_R</t>
  </si>
  <si>
    <t>91KΩ (9102) ±1%</t>
  </si>
  <si>
    <t>R38</t>
  </si>
  <si>
    <t>0Ω (0R0) ±1%</t>
  </si>
  <si>
    <t>R39, R40</t>
  </si>
  <si>
    <t>RN73R1ETTP2703B25</t>
  </si>
  <si>
    <t>KOA RN73系列0402贴片薄膜高精密电阻 
270KΩ±0.1% 62.5mW ±25PPM</t>
  </si>
  <si>
    <t>R41</t>
  </si>
  <si>
    <t>TC0250B1203TCC</t>
  </si>
  <si>
    <t>镍铬薄膜高精密0402贴片电阻 120KΩ ±0.1% 
25PPM</t>
  </si>
  <si>
    <t>R42</t>
  </si>
  <si>
    <t>4.7Ω (4R70) ±1%</t>
  </si>
  <si>
    <t>R48, R49</t>
  </si>
  <si>
    <t>RT0402BRD07127KL</t>
  </si>
  <si>
    <t>精密高稳定性0402贴片电阻 127KΩ ±0.1% 25PPM</t>
  </si>
  <si>
    <t>R50</t>
  </si>
  <si>
    <t>PTFR0402B24K3N9</t>
  </si>
  <si>
    <t>高精密高稳定性0402贴片电阻 24.3KΩ ±0.1% 
5PPM</t>
  </si>
  <si>
    <t>R51</t>
  </si>
  <si>
    <t>7.5KΩ (7501) ±1%</t>
  </si>
  <si>
    <t>R52</t>
  </si>
  <si>
    <t>LTC7892AUJM#WTRPBF</t>
  </si>
  <si>
    <t>Low IQ  , Dual, 2-Phase Synchronous Boost 
Controller for GaN FETs, AEC-Q100 Certified</t>
  </si>
  <si>
    <t>U1</t>
  </si>
  <si>
    <t>UJM0040A</t>
  </si>
  <si>
    <t>LGS5148</t>
  </si>
  <si>
    <t>48V输入，600mA同步降压转换器，SOT-23-6封装</t>
  </si>
  <si>
    <t>U2, U12</t>
  </si>
  <si>
    <t>SOT23_6</t>
  </si>
  <si>
    <t>UCC27614DSGR</t>
  </si>
  <si>
    <t>10A峰值电流驱动能力的单路低侧栅极驱动器，
17.5nS典型传播延迟，WSON8封装</t>
  </si>
  <si>
    <t>U3</t>
  </si>
  <si>
    <t>DSG0008A</t>
  </si>
  <si>
    <t>TPS7B6950QDBVRQ1</t>
  </si>
  <si>
    <t>150mA 40V max input Ultra low Iq LDO,fixed 
5V output AECQ100 Qualified</t>
  </si>
  <si>
    <t>U4, U7</t>
  </si>
  <si>
    <t>SOT23_5</t>
  </si>
  <si>
    <t>INA214AIDCKR</t>
  </si>
  <si>
    <t>100V/V增益 26V最高共模电压，高低侧通用双向
高精度检流放大器 SC70-6封装</t>
  </si>
  <si>
    <t>U5</t>
  </si>
  <si>
    <t>SC70-6</t>
  </si>
  <si>
    <t>OPA388IDBVR</t>
  </si>
  <si>
    <t>单路、10MHz、CMOS、零温漂、零交叉、
真 RRIO 精密运算放大器</t>
  </si>
  <si>
    <t>U6</t>
  </si>
  <si>
    <t>CMS8S6990NAQN20</t>
  </si>
  <si>
    <t>中微增强型闪存1T 8051单片机，16KB Flash 
256+1K XRAM</t>
  </si>
  <si>
    <t>U8</t>
  </si>
  <si>
    <t>QFN3*3_20L</t>
  </si>
  <si>
    <t>OPA333AIDCKT</t>
  </si>
  <si>
    <t>微功耗、1.8V、17uA 零漂移 CMOS 
精密运算放大器，SC70-5封装</t>
  </si>
  <si>
    <t>U9</t>
  </si>
  <si>
    <t>SC70-5</t>
  </si>
  <si>
    <t>CH412K</t>
  </si>
  <si>
    <t>very low capacity quad IO ESD protection 
Array</t>
  </si>
  <si>
    <t>U10</t>
  </si>
  <si>
    <t>LMV321IDCKR</t>
  </si>
  <si>
    <t>CMOS超小型通用运算放大器，SC70-5</t>
  </si>
  <si>
    <t>U11</t>
  </si>
  <si>
    <t>Cu_3AU_D1.0_L1.5</t>
  </si>
  <si>
    <r>
      <rPr>
        <sz val="14"/>
        <color rgb="FF000000"/>
        <rFont val="宋体"/>
        <charset val="134"/>
      </rPr>
      <t>中通达SMT圆柱镀金铜柱，直径</t>
    </r>
    <r>
      <rPr>
        <sz val="14"/>
        <color rgb="FF000000"/>
        <rFont val="Segoe UI"/>
        <charset val="134"/>
      </rPr>
      <t>1.0</t>
    </r>
    <r>
      <rPr>
        <sz val="14"/>
        <color rgb="FF000000"/>
        <rFont val="宋体"/>
        <charset val="134"/>
      </rPr>
      <t>，
高度</t>
    </r>
    <r>
      <rPr>
        <sz val="14"/>
        <color rgb="FF000000"/>
        <rFont val="Segoe UI"/>
        <charset val="134"/>
      </rPr>
      <t>1.5</t>
    </r>
    <r>
      <rPr>
        <sz val="14"/>
        <color rgb="FF000000"/>
        <rFont val="宋体"/>
        <charset val="134"/>
      </rPr>
      <t>，镀金</t>
    </r>
    <r>
      <rPr>
        <sz val="14"/>
        <color rgb="FF000000"/>
        <rFont val="Segoe UI"/>
        <charset val="134"/>
      </rPr>
      <t>3U</t>
    </r>
  </si>
  <si>
    <t>N/A</t>
  </si>
  <si>
    <t>Cu_D1.0_L1.5</t>
  </si>
  <si>
    <t>Cu_TIN_L10.0_W4.0_H2.0</t>
  </si>
  <si>
    <r>
      <rPr>
        <sz val="14"/>
        <color rgb="FF000000"/>
        <rFont val="宋体"/>
        <charset val="134"/>
      </rPr>
      <t>中通达SMT镀锡铜片，长</t>
    </r>
    <r>
      <rPr>
        <sz val="14"/>
        <color rgb="FF000000"/>
        <rFont val="Segoe UI"/>
        <charset val="134"/>
      </rPr>
      <t>10mm</t>
    </r>
    <r>
      <rPr>
        <sz val="14"/>
        <color rgb="FF000000"/>
        <rFont val="宋体"/>
        <charset val="134"/>
      </rPr>
      <t>，宽度</t>
    </r>
    <r>
      <rPr>
        <sz val="14"/>
        <color rgb="FF000000"/>
        <rFont val="Segoe UI"/>
        <charset val="134"/>
      </rPr>
      <t>4mm</t>
    </r>
    <r>
      <rPr>
        <sz val="14"/>
        <color rgb="FF000000"/>
        <rFont val="宋体"/>
        <charset val="134"/>
      </rPr>
      <t>，
厚度</t>
    </r>
    <r>
      <rPr>
        <sz val="14"/>
        <color rgb="FF000000"/>
        <rFont val="Segoe UI"/>
        <charset val="134"/>
      </rPr>
      <t>2mm</t>
    </r>
  </si>
  <si>
    <t>Cu_L10.0_W4.0_H2.0</t>
  </si>
  <si>
    <t>Cu_1AU_L5.0_W5.0_H1.5</t>
  </si>
  <si>
    <r>
      <rPr>
        <sz val="14"/>
        <color rgb="FF000000"/>
        <rFont val="宋体"/>
        <charset val="134"/>
      </rPr>
      <t>中通达</t>
    </r>
    <r>
      <rPr>
        <sz val="14"/>
        <color rgb="FF000000"/>
        <rFont val="Segoe UI"/>
        <charset val="134"/>
      </rPr>
      <t>SMT</t>
    </r>
    <r>
      <rPr>
        <sz val="14"/>
        <color rgb="FF000000"/>
        <rFont val="宋体"/>
        <charset val="134"/>
      </rPr>
      <t>镀金铜片，长</t>
    </r>
    <r>
      <rPr>
        <sz val="14"/>
        <color rgb="FF000000"/>
        <rFont val="Segoe UI"/>
        <charset val="134"/>
      </rPr>
      <t>5mm</t>
    </r>
    <r>
      <rPr>
        <sz val="14"/>
        <color rgb="FF000000"/>
        <rFont val="宋体"/>
        <charset val="134"/>
      </rPr>
      <t>，宽</t>
    </r>
    <r>
      <rPr>
        <sz val="14"/>
        <color rgb="FF000000"/>
        <rFont val="Segoe UI"/>
        <charset val="134"/>
      </rPr>
      <t xml:space="preserve">5mm
</t>
    </r>
    <r>
      <rPr>
        <sz val="14"/>
        <color rgb="FF000000"/>
        <rFont val="宋体"/>
        <charset val="134"/>
      </rPr>
      <t>高度</t>
    </r>
    <r>
      <rPr>
        <sz val="14"/>
        <color rgb="FF000000"/>
        <rFont val="Segoe UI"/>
        <charset val="134"/>
      </rPr>
      <t>1.5</t>
    </r>
    <r>
      <rPr>
        <sz val="14"/>
        <color rgb="FF000000"/>
        <rFont val="宋体"/>
        <charset val="134"/>
      </rPr>
      <t>，镀金</t>
    </r>
    <r>
      <rPr>
        <sz val="14"/>
        <color rgb="FF000000"/>
        <rFont val="Segoe UI"/>
        <charset val="134"/>
      </rPr>
      <t>1U</t>
    </r>
  </si>
  <si>
    <t>Cu_L5.0_W5.0_H1.5</t>
  </si>
  <si>
    <t>Cu_1AU_L6.0_W2.0_H0.5</t>
  </si>
  <si>
    <r>
      <rPr>
        <sz val="14"/>
        <color rgb="FF000000"/>
        <rFont val="宋体"/>
        <charset val="134"/>
      </rPr>
      <t>中通达</t>
    </r>
    <r>
      <rPr>
        <sz val="14"/>
        <color rgb="FF000000"/>
        <rFont val="Segoe UI"/>
        <charset val="134"/>
      </rPr>
      <t>SMT</t>
    </r>
    <r>
      <rPr>
        <sz val="14"/>
        <color rgb="FF000000"/>
        <rFont val="宋体"/>
        <charset val="134"/>
      </rPr>
      <t>镀金铜片，长6</t>
    </r>
    <r>
      <rPr>
        <sz val="14"/>
        <color rgb="FF000000"/>
        <rFont val="Segoe UI"/>
        <charset val="134"/>
      </rPr>
      <t>mm</t>
    </r>
    <r>
      <rPr>
        <sz val="14"/>
        <color rgb="FF000000"/>
        <rFont val="宋体"/>
        <charset val="134"/>
      </rPr>
      <t>，宽2</t>
    </r>
    <r>
      <rPr>
        <sz val="14"/>
        <color rgb="FF000000"/>
        <rFont val="Segoe UI"/>
        <charset val="134"/>
      </rPr>
      <t xml:space="preserve">mm
</t>
    </r>
    <r>
      <rPr>
        <sz val="14"/>
        <color rgb="FF000000"/>
        <rFont val="宋体"/>
        <charset val="134"/>
      </rPr>
      <t>高度0</t>
    </r>
    <r>
      <rPr>
        <sz val="14"/>
        <color rgb="FF000000"/>
        <rFont val="Segoe UI"/>
        <charset val="134"/>
      </rPr>
      <t>.5</t>
    </r>
    <r>
      <rPr>
        <sz val="14"/>
        <color rgb="FF000000"/>
        <rFont val="宋体"/>
        <charset val="134"/>
      </rPr>
      <t>，镀金</t>
    </r>
    <r>
      <rPr>
        <sz val="14"/>
        <color rgb="FF000000"/>
        <rFont val="Segoe UI"/>
        <charset val="134"/>
      </rPr>
      <t>1U</t>
    </r>
  </si>
  <si>
    <t>Cu_L6.0_W2.0_H0.5</t>
  </si>
  <si>
    <t>Cu_1AU_L2.0_W2.0_H1.2</t>
  </si>
  <si>
    <r>
      <rPr>
        <sz val="14"/>
        <color rgb="FF000000"/>
        <rFont val="宋体"/>
        <charset val="134"/>
      </rPr>
      <t>中通达</t>
    </r>
    <r>
      <rPr>
        <sz val="14"/>
        <color rgb="FF000000"/>
        <rFont val="Segoe UI"/>
        <charset val="134"/>
      </rPr>
      <t>SMT</t>
    </r>
    <r>
      <rPr>
        <sz val="14"/>
        <color rgb="FF000000"/>
        <rFont val="宋体"/>
        <charset val="134"/>
      </rPr>
      <t>镀金铜片，长2</t>
    </r>
    <r>
      <rPr>
        <sz val="14"/>
        <color rgb="FF000000"/>
        <rFont val="Segoe UI"/>
        <charset val="134"/>
      </rPr>
      <t>mm</t>
    </r>
    <r>
      <rPr>
        <sz val="14"/>
        <color rgb="FF000000"/>
        <rFont val="宋体"/>
        <charset val="134"/>
      </rPr>
      <t>，宽2</t>
    </r>
    <r>
      <rPr>
        <sz val="14"/>
        <color rgb="FF000000"/>
        <rFont val="Segoe UI"/>
        <charset val="134"/>
      </rPr>
      <t xml:space="preserve">mm
</t>
    </r>
    <r>
      <rPr>
        <sz val="14"/>
        <color rgb="FF000000"/>
        <rFont val="宋体"/>
        <charset val="134"/>
      </rPr>
      <t>高度1.2，镀金</t>
    </r>
    <r>
      <rPr>
        <sz val="14"/>
        <color rgb="FF000000"/>
        <rFont val="Segoe UI"/>
        <charset val="134"/>
      </rPr>
      <t>1U</t>
    </r>
  </si>
  <si>
    <t>Cu_L2.0_W2.0_H1.2</t>
  </si>
  <si>
    <t>Cu_1AU_L2.5_W2.5_H1.9</t>
  </si>
  <si>
    <r>
      <rPr>
        <sz val="14"/>
        <color rgb="FF000000"/>
        <rFont val="宋体"/>
        <charset val="134"/>
      </rPr>
      <t>中通达</t>
    </r>
    <r>
      <rPr>
        <sz val="14"/>
        <color rgb="FF000000"/>
        <rFont val="Segoe UI"/>
        <charset val="134"/>
      </rPr>
      <t>SMT</t>
    </r>
    <r>
      <rPr>
        <sz val="14"/>
        <color rgb="FF000000"/>
        <rFont val="宋体"/>
        <charset val="134"/>
      </rPr>
      <t>镀金铜片，长2.5</t>
    </r>
    <r>
      <rPr>
        <sz val="14"/>
        <color rgb="FF000000"/>
        <rFont val="Segoe UI"/>
        <charset val="134"/>
      </rPr>
      <t>mm</t>
    </r>
    <r>
      <rPr>
        <sz val="14"/>
        <color rgb="FF000000"/>
        <rFont val="宋体"/>
        <charset val="134"/>
      </rPr>
      <t>，宽2.5</t>
    </r>
    <r>
      <rPr>
        <sz val="14"/>
        <color rgb="FF000000"/>
        <rFont val="Segoe UI"/>
        <charset val="134"/>
      </rPr>
      <t xml:space="preserve">mm
</t>
    </r>
    <r>
      <rPr>
        <sz val="14"/>
        <color rgb="FF000000"/>
        <rFont val="宋体"/>
        <charset val="134"/>
      </rPr>
      <t>高度1.9，镀金</t>
    </r>
    <r>
      <rPr>
        <sz val="14"/>
        <color rgb="FF000000"/>
        <rFont val="Segoe UI"/>
        <charset val="134"/>
      </rPr>
      <t>1U</t>
    </r>
  </si>
  <si>
    <t>Cu_L2.5_W2.5_H1.9</t>
  </si>
  <si>
    <t>Cu_MID_POSConduct</t>
  </si>
  <si>
    <t>CNC正极中心倒流条，雾锡处理</t>
  </si>
  <si>
    <t>CU_MainPOSContact</t>
  </si>
  <si>
    <r>
      <rPr>
        <sz val="14"/>
        <color rgb="FF000000"/>
        <rFont val="宋体"/>
        <charset val="134"/>
      </rPr>
      <t>夜巡老王超低内阻紫铜厚弹片，紫铜镀镍</t>
    </r>
    <r>
      <rPr>
        <sz val="14"/>
        <color rgb="FF000000"/>
        <rFont val="Segoe UI"/>
        <charset val="134"/>
      </rPr>
      <t xml:space="preserve">
</t>
    </r>
    <r>
      <rPr>
        <sz val="14"/>
        <color rgb="FF000000"/>
        <rFont val="宋体"/>
        <charset val="134"/>
      </rPr>
      <t>处理，内阻0.3mR</t>
    </r>
  </si>
  <si>
    <t>PCB_XTRBoost_GaN_6L_
2Oz</t>
  </si>
  <si>
    <r>
      <rPr>
        <sz val="14"/>
        <color rgb="FF000000"/>
        <rFont val="宋体"/>
        <charset val="134"/>
      </rPr>
      <t>驱动PCB裸板，蓝油白字，六层</t>
    </r>
    <r>
      <rPr>
        <sz val="14"/>
        <color rgb="FF000000"/>
        <rFont val="Segoe UI"/>
        <charset val="134"/>
      </rPr>
      <t>2Oz</t>
    </r>
    <r>
      <rPr>
        <sz val="14"/>
        <color rgb="FF000000"/>
        <rFont val="宋体"/>
        <charset val="134"/>
      </rPr>
      <t>铜厚，TG
170生益板材，</t>
    </r>
    <r>
      <rPr>
        <sz val="14"/>
        <color rgb="FF000000"/>
        <rFont val="Segoe UI"/>
        <charset val="134"/>
      </rPr>
      <t>2U</t>
    </r>
    <r>
      <rPr>
        <sz val="14"/>
        <color rgb="FF000000"/>
        <rFont val="宋体"/>
        <charset val="134"/>
      </rPr>
      <t>沉金，过孔塞树脂。</t>
    </r>
  </si>
  <si>
    <t>PCB1</t>
  </si>
  <si>
    <t>驱动物料总价</t>
  </si>
  <si>
    <t>驱动元器件总数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</si>
</sst>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rgb="FF000000"/>
      <name val="Segoe UI"/>
      <charset val="134"/>
    </font>
    <font>
      <sz val="14"/>
      <color rgb="FF000000"/>
      <name val="微软雅黑"/>
      <charset val="134"/>
    </font>
    <font>
      <sz val="16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76" fontId="2" fillId="0" borderId="1" xfId="0" applyNumberFormat="1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 quotePrefix="1">
      <alignment horizontal="center" vertical="center"/>
    </xf>
    <xf numFmtId="0" fontId="2" fillId="0" borderId="1" xfId="0" applyFont="1" applyBorder="1" quotePrefix="1">
      <alignment vertical="center"/>
    </xf>
    <xf numFmtId="0" fontId="3" fillId="0" borderId="1" xfId="0" applyFont="1" applyBorder="1" quotePrefix="1">
      <alignment vertical="center"/>
    </xf>
    <xf numFmtId="0" fontId="3" fillId="0" borderId="1" xfId="0" applyFont="1" applyBorder="1" applyAlignment="1" quotePrefix="1">
      <alignment vertical="center" wrapText="1"/>
    </xf>
    <xf numFmtId="0" fontId="2" fillId="0" borderId="1" xfId="0" applyFont="1" applyBorder="1" applyAlignment="1" quotePrefix="1">
      <alignment vertical="center" wrapText="1"/>
    </xf>
    <xf numFmtId="0" fontId="3" fillId="0" borderId="1" xfId="0" applyFont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6"/>
  <sheetViews>
    <sheetView tabSelected="1" topLeftCell="A27" workbookViewId="0">
      <selection activeCell="B49" sqref="B49"/>
    </sheetView>
  </sheetViews>
  <sheetFormatPr defaultColWidth="8.88888888888889" defaultRowHeight="14.4" outlineLevelCol="6"/>
  <cols>
    <col min="1" max="1" width="30.1111111111111" customWidth="1"/>
    <col min="2" max="2" width="59.4444444444444" customWidth="1"/>
    <col min="3" max="3" width="35.8888888888889" customWidth="1"/>
    <col min="4" max="4" width="45.6666666666667" customWidth="1"/>
    <col min="5" max="5" width="13.9537037037037" customWidth="1"/>
    <col min="7" max="7" width="9.66666666666667"/>
  </cols>
  <sheetData>
    <row r="1" ht="17.4" spans="1:7">
      <c r="A1" s="13" t="s">
        <v>0</v>
      </c>
      <c r="B1" s="1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.4" spans="1:7">
      <c r="A2" s="14" t="s">
        <v>7</v>
      </c>
      <c r="B2" s="15" t="s">
        <v>8</v>
      </c>
      <c r="C2" s="14" t="s">
        <v>9</v>
      </c>
      <c r="D2" s="14" t="s">
        <v>10</v>
      </c>
      <c r="E2" s="2">
        <v>2</v>
      </c>
      <c r="F2" s="2">
        <v>1.32</v>
      </c>
      <c r="G2" s="2">
        <f>F2*E2</f>
        <v>2.64</v>
      </c>
    </row>
    <row r="3" ht="38.4" spans="1:7">
      <c r="A3" s="14" t="s">
        <v>11</v>
      </c>
      <c r="B3" s="16" t="s">
        <v>12</v>
      </c>
      <c r="C3" s="14" t="s">
        <v>13</v>
      </c>
      <c r="D3" s="14" t="s">
        <v>10</v>
      </c>
      <c r="E3" s="2">
        <v>1</v>
      </c>
      <c r="F3" s="2">
        <v>0.59</v>
      </c>
      <c r="G3" s="2">
        <f t="shared" ref="G3:G34" si="0">F3*E3</f>
        <v>0.59</v>
      </c>
    </row>
    <row r="4" ht="38.4" spans="1:7">
      <c r="A4" s="14" t="s">
        <v>14</v>
      </c>
      <c r="B4" s="16" t="s">
        <v>15</v>
      </c>
      <c r="C4" s="14" t="s">
        <v>16</v>
      </c>
      <c r="D4" s="14" t="s">
        <v>17</v>
      </c>
      <c r="E4" s="2">
        <v>2</v>
      </c>
      <c r="F4" s="2">
        <v>1.8</v>
      </c>
      <c r="G4" s="2">
        <f t="shared" si="0"/>
        <v>3.6</v>
      </c>
    </row>
    <row r="5" ht="40.8" spans="1:7">
      <c r="A5" s="14" t="s">
        <v>18</v>
      </c>
      <c r="B5" s="15" t="s">
        <v>19</v>
      </c>
      <c r="C5" s="17" t="s">
        <v>20</v>
      </c>
      <c r="D5" s="14" t="s">
        <v>21</v>
      </c>
      <c r="E5" s="2">
        <v>13</v>
      </c>
      <c r="F5" s="2">
        <v>0.07</v>
      </c>
      <c r="G5" s="2">
        <f t="shared" si="0"/>
        <v>0.91</v>
      </c>
    </row>
    <row r="6" ht="20.4" spans="1:7">
      <c r="A6" s="14" t="s">
        <v>22</v>
      </c>
      <c r="B6" s="15" t="s">
        <v>23</v>
      </c>
      <c r="C6" s="14" t="s">
        <v>24</v>
      </c>
      <c r="D6" s="14" t="s">
        <v>21</v>
      </c>
      <c r="E6" s="2">
        <v>2</v>
      </c>
      <c r="F6" s="2">
        <v>0.92</v>
      </c>
      <c r="G6" s="2">
        <f t="shared" si="0"/>
        <v>1.84</v>
      </c>
    </row>
    <row r="7" ht="20.4" spans="1:7">
      <c r="A7" s="14" t="s">
        <v>25</v>
      </c>
      <c r="B7" s="15" t="s">
        <v>26</v>
      </c>
      <c r="C7" s="14" t="s">
        <v>27</v>
      </c>
      <c r="D7" s="14" t="s">
        <v>21</v>
      </c>
      <c r="E7" s="2">
        <v>2</v>
      </c>
      <c r="F7" s="2">
        <v>0.11</v>
      </c>
      <c r="G7" s="2">
        <f t="shared" si="0"/>
        <v>0.22</v>
      </c>
    </row>
    <row r="8" ht="20.4" spans="1:7">
      <c r="A8" s="14" t="s">
        <v>28</v>
      </c>
      <c r="B8" s="15" t="s">
        <v>29</v>
      </c>
      <c r="C8" s="14" t="s">
        <v>30</v>
      </c>
      <c r="D8" s="14" t="s">
        <v>21</v>
      </c>
      <c r="E8" s="2">
        <v>6</v>
      </c>
      <c r="F8" s="2">
        <v>0.48</v>
      </c>
      <c r="G8" s="2">
        <f t="shared" si="0"/>
        <v>2.88</v>
      </c>
    </row>
    <row r="9" ht="20.4" spans="1:7">
      <c r="A9" s="14" t="s">
        <v>31</v>
      </c>
      <c r="B9" s="15" t="s">
        <v>32</v>
      </c>
      <c r="C9" s="14" t="s">
        <v>33</v>
      </c>
      <c r="D9" s="14" t="s">
        <v>21</v>
      </c>
      <c r="E9" s="2">
        <v>2</v>
      </c>
      <c r="F9" s="2">
        <v>0.28</v>
      </c>
      <c r="G9" s="2">
        <f t="shared" si="0"/>
        <v>0.56</v>
      </c>
    </row>
    <row r="10" ht="20.4" spans="1:7">
      <c r="A10" s="14" t="s">
        <v>34</v>
      </c>
      <c r="B10" s="15" t="s">
        <v>35</v>
      </c>
      <c r="C10" s="14" t="s">
        <v>36</v>
      </c>
      <c r="D10" s="14" t="s">
        <v>37</v>
      </c>
      <c r="E10" s="2">
        <v>6</v>
      </c>
      <c r="F10" s="2">
        <v>0.4</v>
      </c>
      <c r="G10" s="2">
        <f t="shared" si="0"/>
        <v>2.4</v>
      </c>
    </row>
    <row r="11" ht="20.4" spans="1:7">
      <c r="A11" s="14" t="s">
        <v>38</v>
      </c>
      <c r="B11" s="15" t="s">
        <v>39</v>
      </c>
      <c r="C11" s="14" t="s">
        <v>40</v>
      </c>
      <c r="D11" s="14" t="s">
        <v>41</v>
      </c>
      <c r="E11" s="2">
        <v>1</v>
      </c>
      <c r="F11" s="2">
        <v>3.1</v>
      </c>
      <c r="G11" s="2">
        <f t="shared" si="0"/>
        <v>3.1</v>
      </c>
    </row>
    <row r="12" ht="20.4" spans="1:7">
      <c r="A12" s="14" t="s">
        <v>42</v>
      </c>
      <c r="B12" s="15" t="s">
        <v>43</v>
      </c>
      <c r="C12" s="14" t="s">
        <v>44</v>
      </c>
      <c r="D12" s="14" t="s">
        <v>45</v>
      </c>
      <c r="E12" s="2">
        <v>1</v>
      </c>
      <c r="F12" s="2">
        <v>1.41</v>
      </c>
      <c r="G12" s="2">
        <f t="shared" si="0"/>
        <v>1.41</v>
      </c>
    </row>
    <row r="13" ht="20.4" spans="1:7">
      <c r="A13" s="14" t="s">
        <v>46</v>
      </c>
      <c r="B13" s="15" t="s">
        <v>47</v>
      </c>
      <c r="C13" s="14" t="s">
        <v>48</v>
      </c>
      <c r="D13" s="14" t="s">
        <v>21</v>
      </c>
      <c r="E13" s="2">
        <v>1</v>
      </c>
      <c r="F13" s="2">
        <v>0.06</v>
      </c>
      <c r="G13" s="2">
        <f t="shared" si="0"/>
        <v>0.06</v>
      </c>
    </row>
    <row r="14" ht="20.4" spans="1:7">
      <c r="A14" s="14" t="s">
        <v>49</v>
      </c>
      <c r="B14" s="15" t="s">
        <v>19</v>
      </c>
      <c r="C14" s="14" t="s">
        <v>50</v>
      </c>
      <c r="D14" s="14" t="s">
        <v>21</v>
      </c>
      <c r="E14" s="2">
        <v>1</v>
      </c>
      <c r="F14" s="2">
        <v>0.03</v>
      </c>
      <c r="G14" s="2">
        <f t="shared" si="0"/>
        <v>0.03</v>
      </c>
    </row>
    <row r="15" ht="40.8" spans="1:7">
      <c r="A15" s="14" t="s">
        <v>51</v>
      </c>
      <c r="B15" s="15" t="s">
        <v>52</v>
      </c>
      <c r="C15" s="17" t="s">
        <v>53</v>
      </c>
      <c r="D15" s="14" t="s">
        <v>54</v>
      </c>
      <c r="E15" s="2">
        <v>12</v>
      </c>
      <c r="F15" s="2">
        <v>3.49</v>
      </c>
      <c r="G15" s="2">
        <f t="shared" si="0"/>
        <v>41.88</v>
      </c>
    </row>
    <row r="16" ht="20.4" spans="1:7">
      <c r="A16" s="14" t="s">
        <v>55</v>
      </c>
      <c r="B16" s="15" t="s">
        <v>56</v>
      </c>
      <c r="C16" s="14" t="s">
        <v>57</v>
      </c>
      <c r="D16" s="14" t="s">
        <v>58</v>
      </c>
      <c r="E16" s="2">
        <v>1</v>
      </c>
      <c r="F16" s="6">
        <v>3.1</v>
      </c>
      <c r="G16" s="2">
        <f t="shared" si="0"/>
        <v>3.1</v>
      </c>
    </row>
    <row r="17" ht="40.8" spans="1:7">
      <c r="A17" s="14" t="s">
        <v>59</v>
      </c>
      <c r="B17" s="15" t="s">
        <v>60</v>
      </c>
      <c r="C17" s="17" t="s">
        <v>61</v>
      </c>
      <c r="D17" s="14" t="s">
        <v>54</v>
      </c>
      <c r="E17" s="2">
        <v>8</v>
      </c>
      <c r="F17" s="2">
        <v>4.3</v>
      </c>
      <c r="G17" s="2">
        <f t="shared" si="0"/>
        <v>34.4</v>
      </c>
    </row>
    <row r="18" ht="20.4" spans="1:7">
      <c r="A18" s="14" t="s">
        <v>62</v>
      </c>
      <c r="B18" s="15" t="s">
        <v>63</v>
      </c>
      <c r="C18" s="14" t="s">
        <v>64</v>
      </c>
      <c r="D18" s="14" t="s">
        <v>21</v>
      </c>
      <c r="E18" s="2">
        <v>1</v>
      </c>
      <c r="F18" s="2">
        <v>0.77</v>
      </c>
      <c r="G18" s="2">
        <f t="shared" si="0"/>
        <v>0.77</v>
      </c>
    </row>
    <row r="19" ht="20.4" spans="1:7">
      <c r="A19" s="14" t="s">
        <v>65</v>
      </c>
      <c r="B19" s="15" t="s">
        <v>19</v>
      </c>
      <c r="C19" s="14" t="s">
        <v>66</v>
      </c>
      <c r="D19" s="14" t="s">
        <v>21</v>
      </c>
      <c r="E19" s="2">
        <v>1</v>
      </c>
      <c r="F19" s="2">
        <v>0.03</v>
      </c>
      <c r="G19" s="2">
        <f t="shared" si="0"/>
        <v>0.03</v>
      </c>
    </row>
    <row r="20" ht="20.4" spans="1:7">
      <c r="A20" s="14" t="s">
        <v>67</v>
      </c>
      <c r="B20" s="15" t="s">
        <v>19</v>
      </c>
      <c r="C20" s="14" t="s">
        <v>68</v>
      </c>
      <c r="D20" s="14" t="s">
        <v>21</v>
      </c>
      <c r="E20" s="2">
        <v>1</v>
      </c>
      <c r="F20" s="2">
        <v>0.03</v>
      </c>
      <c r="G20" s="2">
        <f t="shared" si="0"/>
        <v>0.03</v>
      </c>
    </row>
    <row r="21" ht="20.4" spans="1:7">
      <c r="A21" s="14" t="s">
        <v>69</v>
      </c>
      <c r="B21" s="15" t="s">
        <v>19</v>
      </c>
      <c r="C21" s="14" t="s">
        <v>70</v>
      </c>
      <c r="D21" s="14" t="s">
        <v>45</v>
      </c>
      <c r="E21" s="2">
        <v>1</v>
      </c>
      <c r="F21" s="2">
        <v>0.7</v>
      </c>
      <c r="G21" s="2">
        <f t="shared" si="0"/>
        <v>0.7</v>
      </c>
    </row>
    <row r="22" ht="20.4" spans="1:7">
      <c r="A22" s="14" t="s">
        <v>71</v>
      </c>
      <c r="B22" s="15" t="s">
        <v>19</v>
      </c>
      <c r="C22" s="14" t="s">
        <v>72</v>
      </c>
      <c r="D22" s="14" t="s">
        <v>21</v>
      </c>
      <c r="E22" s="2">
        <v>2</v>
      </c>
      <c r="F22" s="2">
        <v>0.3</v>
      </c>
      <c r="G22" s="2">
        <f t="shared" si="0"/>
        <v>0.6</v>
      </c>
    </row>
    <row r="23" ht="20.4" spans="1:7">
      <c r="A23" s="14" t="s">
        <v>73</v>
      </c>
      <c r="B23" s="15" t="s">
        <v>19</v>
      </c>
      <c r="C23" s="14" t="s">
        <v>74</v>
      </c>
      <c r="D23" s="14" t="s">
        <v>21</v>
      </c>
      <c r="E23" s="2">
        <v>1</v>
      </c>
      <c r="F23" s="2">
        <v>0.03</v>
      </c>
      <c r="G23" s="2">
        <f t="shared" si="0"/>
        <v>0.03</v>
      </c>
    </row>
    <row r="24" ht="20.4" spans="1:7">
      <c r="A24" s="14" t="s">
        <v>75</v>
      </c>
      <c r="B24" s="15" t="s">
        <v>19</v>
      </c>
      <c r="C24" s="14" t="s">
        <v>76</v>
      </c>
      <c r="D24" s="14" t="s">
        <v>21</v>
      </c>
      <c r="E24" s="2">
        <v>2</v>
      </c>
      <c r="F24" s="2">
        <v>0.26</v>
      </c>
      <c r="G24" s="2">
        <f t="shared" si="0"/>
        <v>0.52</v>
      </c>
    </row>
    <row r="25" ht="20.4" spans="1:7">
      <c r="A25" s="14" t="s">
        <v>77</v>
      </c>
      <c r="B25" s="15" t="s">
        <v>19</v>
      </c>
      <c r="C25" s="14" t="s">
        <v>78</v>
      </c>
      <c r="D25" s="14" t="s">
        <v>21</v>
      </c>
      <c r="E25" s="2">
        <v>1</v>
      </c>
      <c r="F25" s="2">
        <v>0.16</v>
      </c>
      <c r="G25" s="2">
        <f t="shared" si="0"/>
        <v>0.16</v>
      </c>
    </row>
    <row r="26" ht="20.4" spans="1:7">
      <c r="A26" s="14" t="s">
        <v>79</v>
      </c>
      <c r="B26" s="15" t="s">
        <v>80</v>
      </c>
      <c r="C26" s="14" t="s">
        <v>81</v>
      </c>
      <c r="D26" s="14" t="s">
        <v>21</v>
      </c>
      <c r="E26" s="2">
        <v>2</v>
      </c>
      <c r="F26" s="2">
        <v>0.17</v>
      </c>
      <c r="G26" s="2">
        <f t="shared" si="0"/>
        <v>0.34</v>
      </c>
    </row>
    <row r="27" ht="20.4" spans="1:7">
      <c r="A27" s="14" t="s">
        <v>82</v>
      </c>
      <c r="B27" s="15" t="s">
        <v>19</v>
      </c>
      <c r="C27" s="14" t="s">
        <v>83</v>
      </c>
      <c r="D27" s="14" t="s">
        <v>21</v>
      </c>
      <c r="E27" s="2">
        <v>1</v>
      </c>
      <c r="F27" s="2">
        <v>0.03</v>
      </c>
      <c r="G27" s="2">
        <f t="shared" si="0"/>
        <v>0.03</v>
      </c>
    </row>
    <row r="28" ht="20.4" spans="1:7">
      <c r="A28" s="14" t="s">
        <v>84</v>
      </c>
      <c r="B28" s="15" t="s">
        <v>85</v>
      </c>
      <c r="C28" s="14" t="s">
        <v>86</v>
      </c>
      <c r="D28" s="14" t="s">
        <v>87</v>
      </c>
      <c r="E28" s="2">
        <v>2</v>
      </c>
      <c r="F28" s="2">
        <v>0.12</v>
      </c>
      <c r="G28" s="2">
        <f t="shared" si="0"/>
        <v>0.24</v>
      </c>
    </row>
    <row r="29" ht="20.4" spans="1:7">
      <c r="A29" s="14" t="s">
        <v>88</v>
      </c>
      <c r="B29" s="15" t="s">
        <v>89</v>
      </c>
      <c r="C29" s="14" t="s">
        <v>90</v>
      </c>
      <c r="D29" s="14" t="s">
        <v>87</v>
      </c>
      <c r="E29" s="2">
        <v>2</v>
      </c>
      <c r="F29" s="2">
        <v>0.05</v>
      </c>
      <c r="G29" s="2">
        <f t="shared" si="0"/>
        <v>0.1</v>
      </c>
    </row>
    <row r="30" ht="20.4" spans="1:7">
      <c r="A30" s="14" t="s">
        <v>91</v>
      </c>
      <c r="B30" s="15" t="s">
        <v>92</v>
      </c>
      <c r="C30" s="14" t="s">
        <v>93</v>
      </c>
      <c r="D30" s="14" t="s">
        <v>94</v>
      </c>
      <c r="E30" s="2">
        <v>1</v>
      </c>
      <c r="F30" s="2">
        <v>0.18</v>
      </c>
      <c r="G30" s="2">
        <f t="shared" si="0"/>
        <v>0.18</v>
      </c>
    </row>
    <row r="31" ht="20.4" spans="1:7">
      <c r="A31" s="14" t="s">
        <v>95</v>
      </c>
      <c r="B31" s="15" t="s">
        <v>96</v>
      </c>
      <c r="C31" s="14" t="s">
        <v>97</v>
      </c>
      <c r="D31" s="14" t="s">
        <v>98</v>
      </c>
      <c r="E31" s="2">
        <v>2</v>
      </c>
      <c r="F31" s="2">
        <v>0.02</v>
      </c>
      <c r="G31" s="2">
        <f t="shared" si="0"/>
        <v>0.04</v>
      </c>
    </row>
    <row r="32" ht="20.4" spans="1:7">
      <c r="A32" s="14" t="s">
        <v>99</v>
      </c>
      <c r="B32" s="15" t="s">
        <v>100</v>
      </c>
      <c r="C32" s="14" t="s">
        <v>101</v>
      </c>
      <c r="D32" s="14" t="s">
        <v>102</v>
      </c>
      <c r="E32" s="2">
        <v>1</v>
      </c>
      <c r="F32" s="2">
        <v>1</v>
      </c>
      <c r="G32" s="2">
        <f t="shared" si="0"/>
        <v>1</v>
      </c>
    </row>
    <row r="33" ht="20.4" spans="1:7">
      <c r="A33" s="14" t="s">
        <v>103</v>
      </c>
      <c r="B33" s="15" t="s">
        <v>104</v>
      </c>
      <c r="C33" s="14" t="s">
        <v>105</v>
      </c>
      <c r="D33" s="14" t="s">
        <v>87</v>
      </c>
      <c r="E33" s="2">
        <v>1</v>
      </c>
      <c r="F33" s="2">
        <v>0.13</v>
      </c>
      <c r="G33" s="2">
        <f t="shared" si="0"/>
        <v>0.13</v>
      </c>
    </row>
    <row r="34" ht="38.4" spans="1:7">
      <c r="A34" s="14" t="s">
        <v>106</v>
      </c>
      <c r="B34" s="16" t="s">
        <v>107</v>
      </c>
      <c r="C34" s="14" t="s">
        <v>108</v>
      </c>
      <c r="D34" s="14" t="s">
        <v>87</v>
      </c>
      <c r="E34" s="2">
        <v>1</v>
      </c>
      <c r="F34" s="2">
        <v>0.32</v>
      </c>
      <c r="G34" s="2">
        <f t="shared" si="0"/>
        <v>0.32</v>
      </c>
    </row>
    <row r="35" ht="20.4" spans="1:7">
      <c r="A35" s="14" t="s">
        <v>109</v>
      </c>
      <c r="B35" s="15" t="s">
        <v>110</v>
      </c>
      <c r="C35" s="14" t="s">
        <v>111</v>
      </c>
      <c r="D35" s="14" t="s">
        <v>112</v>
      </c>
      <c r="E35" s="2">
        <v>1</v>
      </c>
      <c r="F35" s="2">
        <v>0.43</v>
      </c>
      <c r="G35" s="2">
        <f>F35*E35</f>
        <v>0.43</v>
      </c>
    </row>
    <row r="36" ht="20.4" spans="1:7">
      <c r="A36" s="14" t="s">
        <v>113</v>
      </c>
      <c r="B36" s="15" t="s">
        <v>114</v>
      </c>
      <c r="C36" s="14" t="s">
        <v>115</v>
      </c>
      <c r="D36" s="14" t="s">
        <v>112</v>
      </c>
      <c r="E36" s="2">
        <v>2</v>
      </c>
      <c r="F36" s="2">
        <v>0.02</v>
      </c>
      <c r="G36" s="2">
        <f>F36*E36</f>
        <v>0.04</v>
      </c>
    </row>
    <row r="37" ht="20.4" spans="1:7">
      <c r="A37" s="14" t="s">
        <v>116</v>
      </c>
      <c r="B37" s="15" t="s">
        <v>117</v>
      </c>
      <c r="C37" s="14" t="s">
        <v>118</v>
      </c>
      <c r="D37" s="14" t="s">
        <v>119</v>
      </c>
      <c r="E37" s="2">
        <v>2</v>
      </c>
      <c r="F37" s="2">
        <v>27</v>
      </c>
      <c r="G37" s="2">
        <f>F37*E37</f>
        <v>54</v>
      </c>
    </row>
    <row r="38" ht="38.4" spans="1:7">
      <c r="A38" s="14" t="s">
        <v>120</v>
      </c>
      <c r="B38" s="16" t="s">
        <v>121</v>
      </c>
      <c r="C38" s="14" t="s">
        <v>122</v>
      </c>
      <c r="D38" s="14" t="s">
        <v>123</v>
      </c>
      <c r="E38" s="2">
        <v>2</v>
      </c>
      <c r="F38" s="2">
        <v>0.32</v>
      </c>
      <c r="G38" s="2">
        <f>F38*E38</f>
        <v>0.64</v>
      </c>
    </row>
    <row r="39" ht="38.4" spans="1:7">
      <c r="A39" s="14" t="s">
        <v>124</v>
      </c>
      <c r="B39" s="16" t="s">
        <v>125</v>
      </c>
      <c r="C39" s="14" t="s">
        <v>126</v>
      </c>
      <c r="D39" s="14" t="s">
        <v>127</v>
      </c>
      <c r="E39" s="2">
        <v>2</v>
      </c>
      <c r="F39" s="2">
        <v>35</v>
      </c>
      <c r="G39" s="2">
        <f>F39*E39</f>
        <v>70</v>
      </c>
    </row>
    <row r="40" ht="38.4" spans="1:7">
      <c r="A40" s="14" t="s">
        <v>128</v>
      </c>
      <c r="B40" s="16" t="s">
        <v>129</v>
      </c>
      <c r="C40" s="14" t="s">
        <v>130</v>
      </c>
      <c r="D40" s="14" t="s">
        <v>131</v>
      </c>
      <c r="E40" s="2">
        <v>4</v>
      </c>
      <c r="F40" s="2">
        <v>14.9</v>
      </c>
      <c r="G40" s="2">
        <f>F40*E40</f>
        <v>59.6</v>
      </c>
    </row>
    <row r="41" ht="38.4" spans="1:7">
      <c r="A41" s="14" t="s">
        <v>132</v>
      </c>
      <c r="B41" s="16" t="s">
        <v>133</v>
      </c>
      <c r="C41" s="14" t="s">
        <v>134</v>
      </c>
      <c r="D41" s="14" t="s">
        <v>135</v>
      </c>
      <c r="E41" s="2">
        <v>1</v>
      </c>
      <c r="F41" s="2">
        <v>16.33</v>
      </c>
      <c r="G41" s="2">
        <f t="shared" ref="G41:G46" si="1">F41*E41</f>
        <v>16.33</v>
      </c>
    </row>
    <row r="42" ht="38.4" spans="1:7">
      <c r="A42" s="14" t="s">
        <v>136</v>
      </c>
      <c r="B42" s="16" t="s">
        <v>137</v>
      </c>
      <c r="C42" s="14" t="s">
        <v>138</v>
      </c>
      <c r="D42" s="2" t="s">
        <v>139</v>
      </c>
      <c r="E42" s="2">
        <v>2</v>
      </c>
      <c r="F42" s="2">
        <v>1.41</v>
      </c>
      <c r="G42" s="2">
        <f t="shared" si="1"/>
        <v>2.82</v>
      </c>
    </row>
    <row r="43" ht="20.4" spans="1:7">
      <c r="A43" s="14" t="s">
        <v>140</v>
      </c>
      <c r="B43" s="15" t="s">
        <v>141</v>
      </c>
      <c r="C43" s="14" t="s">
        <v>142</v>
      </c>
      <c r="D43" s="14" t="s">
        <v>143</v>
      </c>
      <c r="E43" s="2">
        <v>1</v>
      </c>
      <c r="F43" s="2">
        <v>0.03</v>
      </c>
      <c r="G43" s="2">
        <f t="shared" si="1"/>
        <v>0.03</v>
      </c>
    </row>
    <row r="44" ht="20.4" spans="1:7">
      <c r="A44" s="14" t="s">
        <v>144</v>
      </c>
      <c r="B44" s="15" t="s">
        <v>141</v>
      </c>
      <c r="C44" s="14" t="s">
        <v>145</v>
      </c>
      <c r="D44" s="14" t="s">
        <v>143</v>
      </c>
      <c r="E44" s="2">
        <v>1</v>
      </c>
      <c r="F44" s="2">
        <v>0.03</v>
      </c>
      <c r="G44" s="2">
        <f t="shared" si="1"/>
        <v>0.03</v>
      </c>
    </row>
    <row r="45" ht="20.4" spans="1:7">
      <c r="A45" s="14" t="s">
        <v>146</v>
      </c>
      <c r="B45" s="15" t="s">
        <v>141</v>
      </c>
      <c r="C45" s="14" t="s">
        <v>147</v>
      </c>
      <c r="D45" s="14" t="s">
        <v>143</v>
      </c>
      <c r="E45" s="2">
        <v>2</v>
      </c>
      <c r="F45" s="2">
        <v>0.03</v>
      </c>
      <c r="G45" s="2">
        <f t="shared" si="1"/>
        <v>0.06</v>
      </c>
    </row>
    <row r="46" ht="20.4" spans="1:7">
      <c r="A46" s="2" t="s">
        <v>148</v>
      </c>
      <c r="B46" s="3" t="s">
        <v>141</v>
      </c>
      <c r="C46" s="2" t="s">
        <v>149</v>
      </c>
      <c r="D46" s="14" t="s">
        <v>143</v>
      </c>
      <c r="E46" s="2">
        <v>1</v>
      </c>
      <c r="F46" s="2">
        <v>0.03</v>
      </c>
      <c r="G46" s="2">
        <f t="shared" si="1"/>
        <v>0.03</v>
      </c>
    </row>
    <row r="47" ht="20.4" spans="1:7">
      <c r="A47" s="14" t="s">
        <v>150</v>
      </c>
      <c r="B47" s="15" t="s">
        <v>141</v>
      </c>
      <c r="C47" s="14" t="s">
        <v>151</v>
      </c>
      <c r="D47" s="14" t="s">
        <v>143</v>
      </c>
      <c r="E47" s="2">
        <v>4</v>
      </c>
      <c r="F47" s="2">
        <v>0.03</v>
      </c>
      <c r="G47" s="2">
        <f>F47*E47</f>
        <v>0.12</v>
      </c>
    </row>
    <row r="48" ht="38.4" spans="1:7">
      <c r="A48" s="14" t="s">
        <v>152</v>
      </c>
      <c r="B48" s="18" t="s">
        <v>153</v>
      </c>
      <c r="C48" s="14" t="s">
        <v>154</v>
      </c>
      <c r="D48" s="14" t="s">
        <v>143</v>
      </c>
      <c r="E48" s="2">
        <v>2</v>
      </c>
      <c r="F48" s="2">
        <v>1.04</v>
      </c>
      <c r="G48" s="2">
        <f>F48*E48</f>
        <v>2.08</v>
      </c>
    </row>
    <row r="49" ht="20.4" spans="1:7">
      <c r="A49" s="14" t="s">
        <v>155</v>
      </c>
      <c r="B49" s="15" t="s">
        <v>141</v>
      </c>
      <c r="C49" s="14" t="s">
        <v>156</v>
      </c>
      <c r="D49" s="14" t="s">
        <v>143</v>
      </c>
      <c r="E49" s="2">
        <v>4</v>
      </c>
      <c r="F49" s="2">
        <v>0.03</v>
      </c>
      <c r="G49" s="2">
        <f t="shared" ref="G49:G66" si="2">F49*E49</f>
        <v>0.12</v>
      </c>
    </row>
    <row r="50" ht="38.4" spans="1:7">
      <c r="A50" s="14" t="s">
        <v>157</v>
      </c>
      <c r="B50" s="16" t="s">
        <v>158</v>
      </c>
      <c r="C50" s="14" t="s">
        <v>159</v>
      </c>
      <c r="D50" s="14" t="s">
        <v>143</v>
      </c>
      <c r="E50" s="2">
        <v>1</v>
      </c>
      <c r="F50" s="2">
        <v>0.58</v>
      </c>
      <c r="G50" s="2">
        <f t="shared" si="2"/>
        <v>0.58</v>
      </c>
    </row>
    <row r="51" ht="20.4" spans="1:7">
      <c r="A51" s="14" t="s">
        <v>160</v>
      </c>
      <c r="B51" s="15" t="s">
        <v>141</v>
      </c>
      <c r="C51" s="14" t="s">
        <v>161</v>
      </c>
      <c r="D51" s="14" t="s">
        <v>143</v>
      </c>
      <c r="E51" s="2">
        <v>2</v>
      </c>
      <c r="F51" s="2">
        <v>0.03</v>
      </c>
      <c r="G51" s="2">
        <f t="shared" si="2"/>
        <v>0.06</v>
      </c>
    </row>
    <row r="52" ht="38.4" spans="1:7">
      <c r="A52" s="14" t="s">
        <v>162</v>
      </c>
      <c r="B52" s="16" t="s">
        <v>163</v>
      </c>
      <c r="C52" s="14" t="s">
        <v>164</v>
      </c>
      <c r="D52" s="2" t="s">
        <v>139</v>
      </c>
      <c r="E52" s="2">
        <v>1</v>
      </c>
      <c r="F52" s="2">
        <v>0.8</v>
      </c>
      <c r="G52" s="2">
        <f t="shared" si="2"/>
        <v>0.8</v>
      </c>
    </row>
    <row r="53" ht="38.4" spans="1:7">
      <c r="A53" s="14" t="s">
        <v>165</v>
      </c>
      <c r="B53" s="16" t="s">
        <v>166</v>
      </c>
      <c r="C53" s="14" t="s">
        <v>167</v>
      </c>
      <c r="D53" s="14" t="s">
        <v>143</v>
      </c>
      <c r="E53" s="2">
        <v>1</v>
      </c>
      <c r="F53" s="2">
        <v>0.17</v>
      </c>
      <c r="G53" s="2">
        <f t="shared" si="2"/>
        <v>0.17</v>
      </c>
    </row>
    <row r="54" ht="20.4" spans="1:7">
      <c r="A54" s="14" t="s">
        <v>168</v>
      </c>
      <c r="B54" s="15" t="s">
        <v>141</v>
      </c>
      <c r="C54" s="14" t="s">
        <v>169</v>
      </c>
      <c r="D54" s="14" t="s">
        <v>143</v>
      </c>
      <c r="E54" s="2">
        <v>1</v>
      </c>
      <c r="F54" s="2">
        <v>0.03</v>
      </c>
      <c r="G54" s="2">
        <f t="shared" si="2"/>
        <v>0.03</v>
      </c>
    </row>
    <row r="55" ht="38.4" spans="1:7">
      <c r="A55" s="14" t="s">
        <v>170</v>
      </c>
      <c r="B55" s="16" t="s">
        <v>171</v>
      </c>
      <c r="C55" s="14" t="s">
        <v>172</v>
      </c>
      <c r="D55" s="14" t="s">
        <v>143</v>
      </c>
      <c r="E55" s="2">
        <v>1</v>
      </c>
      <c r="F55" s="2">
        <v>0.28</v>
      </c>
      <c r="G55" s="2">
        <f t="shared" si="2"/>
        <v>0.28</v>
      </c>
    </row>
    <row r="56" ht="20.4" spans="1:7">
      <c r="A56" s="14" t="s">
        <v>173</v>
      </c>
      <c r="B56" s="15" t="s">
        <v>141</v>
      </c>
      <c r="C56" s="14" t="s">
        <v>174</v>
      </c>
      <c r="D56" s="14" t="s">
        <v>143</v>
      </c>
      <c r="E56" s="2">
        <v>6</v>
      </c>
      <c r="F56" s="2">
        <v>0.03</v>
      </c>
      <c r="G56" s="2">
        <f t="shared" si="2"/>
        <v>0.18</v>
      </c>
    </row>
    <row r="57" ht="20.4" spans="1:7">
      <c r="A57" s="14" t="s">
        <v>175</v>
      </c>
      <c r="B57" s="15" t="s">
        <v>176</v>
      </c>
      <c r="C57" s="14" t="s">
        <v>177</v>
      </c>
      <c r="D57" s="14" t="s">
        <v>143</v>
      </c>
      <c r="E57" s="2">
        <v>1</v>
      </c>
      <c r="F57" s="2">
        <v>0.19</v>
      </c>
      <c r="G57" s="2">
        <f t="shared" si="2"/>
        <v>0.19</v>
      </c>
    </row>
    <row r="58" ht="38.4" spans="1:7">
      <c r="A58" s="14" t="s">
        <v>178</v>
      </c>
      <c r="B58" s="16" t="s">
        <v>179</v>
      </c>
      <c r="C58" s="14" t="s">
        <v>180</v>
      </c>
      <c r="D58" s="14" t="s">
        <v>143</v>
      </c>
      <c r="E58" s="2">
        <v>2</v>
      </c>
      <c r="F58" s="6">
        <v>0.2</v>
      </c>
      <c r="G58" s="2">
        <f t="shared" si="2"/>
        <v>0.4</v>
      </c>
    </row>
    <row r="59" ht="20.4" spans="1:7">
      <c r="A59" s="14" t="s">
        <v>181</v>
      </c>
      <c r="B59" s="15" t="s">
        <v>182</v>
      </c>
      <c r="C59" s="14" t="s">
        <v>183</v>
      </c>
      <c r="D59" s="14" t="s">
        <v>143</v>
      </c>
      <c r="E59" s="2">
        <v>1</v>
      </c>
      <c r="F59" s="2">
        <v>0.43</v>
      </c>
      <c r="G59" s="2">
        <f t="shared" si="2"/>
        <v>0.43</v>
      </c>
    </row>
    <row r="60" ht="20.4" spans="1:7">
      <c r="A60" s="14" t="s">
        <v>184</v>
      </c>
      <c r="B60" s="15" t="s">
        <v>185</v>
      </c>
      <c r="C60" s="14" t="s">
        <v>186</v>
      </c>
      <c r="D60" s="14" t="s">
        <v>143</v>
      </c>
      <c r="E60" s="2">
        <v>1</v>
      </c>
      <c r="F60" s="2">
        <v>0.17</v>
      </c>
      <c r="G60" s="2">
        <f t="shared" si="2"/>
        <v>0.17</v>
      </c>
    </row>
    <row r="61" ht="20.4" spans="1:7">
      <c r="A61" s="14" t="s">
        <v>187</v>
      </c>
      <c r="B61" s="15" t="s">
        <v>141</v>
      </c>
      <c r="C61" s="14" t="s">
        <v>188</v>
      </c>
      <c r="D61" s="14" t="s">
        <v>143</v>
      </c>
      <c r="E61" s="2">
        <v>3</v>
      </c>
      <c r="F61" s="2">
        <v>0.03</v>
      </c>
      <c r="G61" s="2">
        <f t="shared" si="2"/>
        <v>0.09</v>
      </c>
    </row>
    <row r="62" ht="20.4" spans="1:7">
      <c r="A62" s="14" t="s">
        <v>189</v>
      </c>
      <c r="B62" s="15" t="s">
        <v>141</v>
      </c>
      <c r="C62" s="14" t="s">
        <v>190</v>
      </c>
      <c r="D62" s="14" t="s">
        <v>143</v>
      </c>
      <c r="E62" s="2">
        <v>1</v>
      </c>
      <c r="F62" s="2">
        <v>0.03</v>
      </c>
      <c r="G62" s="2">
        <f t="shared" si="2"/>
        <v>0.03</v>
      </c>
    </row>
    <row r="63" ht="20.4" spans="1:7">
      <c r="A63" s="14" t="s">
        <v>191</v>
      </c>
      <c r="B63" s="15" t="s">
        <v>192</v>
      </c>
      <c r="C63" s="14" t="s">
        <v>193</v>
      </c>
      <c r="D63" s="14" t="s">
        <v>143</v>
      </c>
      <c r="E63" s="2">
        <v>1</v>
      </c>
      <c r="F63" s="2">
        <v>0.03</v>
      </c>
      <c r="G63" s="2">
        <f t="shared" si="2"/>
        <v>0.03</v>
      </c>
    </row>
    <row r="64" ht="38.4" spans="1:7">
      <c r="A64" s="14" t="s">
        <v>194</v>
      </c>
      <c r="B64" s="16" t="s">
        <v>195</v>
      </c>
      <c r="C64" s="14" t="s">
        <v>196</v>
      </c>
      <c r="D64" s="14" t="s">
        <v>143</v>
      </c>
      <c r="E64" s="2">
        <v>1</v>
      </c>
      <c r="F64" s="2">
        <v>0.38</v>
      </c>
      <c r="G64" s="2">
        <f t="shared" si="2"/>
        <v>0.38</v>
      </c>
    </row>
    <row r="65" ht="38.4" spans="1:7">
      <c r="A65" s="14" t="s">
        <v>197</v>
      </c>
      <c r="B65" s="16" t="s">
        <v>198</v>
      </c>
      <c r="C65" s="14" t="s">
        <v>199</v>
      </c>
      <c r="D65" s="14" t="s">
        <v>143</v>
      </c>
      <c r="E65" s="2">
        <v>1</v>
      </c>
      <c r="F65" s="2">
        <v>0.74</v>
      </c>
      <c r="G65" s="2">
        <f t="shared" si="2"/>
        <v>0.74</v>
      </c>
    </row>
    <row r="66" ht="38.4" spans="1:7">
      <c r="A66" s="14" t="s">
        <v>200</v>
      </c>
      <c r="B66" s="16" t="s">
        <v>201</v>
      </c>
      <c r="C66" s="14" t="s">
        <v>202</v>
      </c>
      <c r="D66" s="14" t="s">
        <v>143</v>
      </c>
      <c r="E66" s="2">
        <v>1</v>
      </c>
      <c r="F66" s="2">
        <v>0.16</v>
      </c>
      <c r="G66" s="2">
        <f t="shared" si="2"/>
        <v>0.16</v>
      </c>
    </row>
    <row r="67" ht="20.4" spans="1:7">
      <c r="A67" s="14" t="s">
        <v>203</v>
      </c>
      <c r="B67" s="15" t="s">
        <v>141</v>
      </c>
      <c r="C67" s="14" t="s">
        <v>204</v>
      </c>
      <c r="D67" s="14" t="s">
        <v>205</v>
      </c>
      <c r="E67" s="2">
        <v>2</v>
      </c>
      <c r="F67" s="2">
        <v>0.03</v>
      </c>
      <c r="G67" s="2">
        <f t="shared" ref="G67:G94" si="3">F67*E67</f>
        <v>0.06</v>
      </c>
    </row>
    <row r="68" ht="20.4" spans="1:7">
      <c r="A68" s="14" t="s">
        <v>206</v>
      </c>
      <c r="B68" s="15" t="s">
        <v>141</v>
      </c>
      <c r="C68" s="14" t="s">
        <v>207</v>
      </c>
      <c r="D68" s="14" t="s">
        <v>143</v>
      </c>
      <c r="E68" s="2">
        <v>1</v>
      </c>
      <c r="F68" s="2">
        <v>0.03</v>
      </c>
      <c r="G68" s="2">
        <f t="shared" si="3"/>
        <v>0.03</v>
      </c>
    </row>
    <row r="69" ht="20.4" spans="1:7">
      <c r="A69" s="14" t="s">
        <v>208</v>
      </c>
      <c r="B69" s="15" t="s">
        <v>141</v>
      </c>
      <c r="C69" s="14" t="s">
        <v>209</v>
      </c>
      <c r="D69" s="14" t="s">
        <v>143</v>
      </c>
      <c r="E69" s="2">
        <v>2</v>
      </c>
      <c r="F69" s="2">
        <v>0.03</v>
      </c>
      <c r="G69" s="2">
        <f t="shared" si="3"/>
        <v>0.06</v>
      </c>
    </row>
    <row r="70" ht="38.4" spans="1:7">
      <c r="A70" s="14" t="s">
        <v>210</v>
      </c>
      <c r="B70" s="16" t="s">
        <v>211</v>
      </c>
      <c r="C70" s="14" t="s">
        <v>212</v>
      </c>
      <c r="D70" s="14" t="s">
        <v>143</v>
      </c>
      <c r="E70" s="2">
        <v>1</v>
      </c>
      <c r="F70" s="2">
        <v>0.87</v>
      </c>
      <c r="G70" s="2">
        <f t="shared" si="3"/>
        <v>0.87</v>
      </c>
    </row>
    <row r="71" ht="38.4" spans="1:7">
      <c r="A71" s="14" t="s">
        <v>213</v>
      </c>
      <c r="B71" s="16" t="s">
        <v>214</v>
      </c>
      <c r="C71" s="14" t="s">
        <v>215</v>
      </c>
      <c r="D71" s="14" t="s">
        <v>143</v>
      </c>
      <c r="E71" s="2">
        <v>1</v>
      </c>
      <c r="F71" s="2">
        <v>0.15</v>
      </c>
      <c r="G71" s="2">
        <f t="shared" si="3"/>
        <v>0.15</v>
      </c>
    </row>
    <row r="72" ht="20.4" spans="1:7">
      <c r="A72" s="14" t="s">
        <v>216</v>
      </c>
      <c r="B72" s="15" t="s">
        <v>141</v>
      </c>
      <c r="C72" s="14" t="s">
        <v>217</v>
      </c>
      <c r="D72" s="14" t="s">
        <v>143</v>
      </c>
      <c r="E72" s="2">
        <v>2</v>
      </c>
      <c r="F72" s="2">
        <v>0.03</v>
      </c>
      <c r="G72" s="2">
        <f t="shared" si="3"/>
        <v>0.06</v>
      </c>
    </row>
    <row r="73" ht="20.4" spans="1:7">
      <c r="A73" s="14" t="s">
        <v>218</v>
      </c>
      <c r="B73" s="15" t="s">
        <v>219</v>
      </c>
      <c r="C73" s="14" t="s">
        <v>220</v>
      </c>
      <c r="D73" s="14" t="s">
        <v>143</v>
      </c>
      <c r="E73" s="2">
        <v>1</v>
      </c>
      <c r="F73" s="2">
        <v>0.16</v>
      </c>
      <c r="G73" s="2">
        <f t="shared" si="3"/>
        <v>0.16</v>
      </c>
    </row>
    <row r="74" ht="38.4" spans="1:7">
      <c r="A74" s="14" t="s">
        <v>221</v>
      </c>
      <c r="B74" s="16" t="s">
        <v>222</v>
      </c>
      <c r="C74" s="14" t="s">
        <v>223</v>
      </c>
      <c r="D74" s="14" t="s">
        <v>143</v>
      </c>
      <c r="E74" s="2">
        <v>1</v>
      </c>
      <c r="F74" s="2">
        <v>0.58</v>
      </c>
      <c r="G74" s="2">
        <f t="shared" si="3"/>
        <v>0.58</v>
      </c>
    </row>
    <row r="75" ht="20.4" spans="1:7">
      <c r="A75" s="14" t="s">
        <v>224</v>
      </c>
      <c r="B75" s="15" t="s">
        <v>141</v>
      </c>
      <c r="C75" s="14" t="s">
        <v>225</v>
      </c>
      <c r="D75" s="14" t="s">
        <v>143</v>
      </c>
      <c r="E75" s="2">
        <v>1</v>
      </c>
      <c r="F75" s="2">
        <v>0.03</v>
      </c>
      <c r="G75" s="2">
        <f t="shared" si="3"/>
        <v>0.03</v>
      </c>
    </row>
    <row r="76" ht="38.4" spans="1:7">
      <c r="A76" s="14" t="s">
        <v>226</v>
      </c>
      <c r="B76" s="16" t="s">
        <v>227</v>
      </c>
      <c r="C76" s="14" t="s">
        <v>228</v>
      </c>
      <c r="D76" s="14" t="s">
        <v>229</v>
      </c>
      <c r="E76" s="2">
        <v>1</v>
      </c>
      <c r="F76" s="2">
        <v>86</v>
      </c>
      <c r="G76" s="2">
        <f t="shared" si="3"/>
        <v>86</v>
      </c>
    </row>
    <row r="77" ht="20.4" spans="1:7">
      <c r="A77" s="14" t="s">
        <v>230</v>
      </c>
      <c r="B77" s="15" t="s">
        <v>231</v>
      </c>
      <c r="C77" s="14" t="s">
        <v>232</v>
      </c>
      <c r="D77" s="14" t="s">
        <v>233</v>
      </c>
      <c r="E77" s="2">
        <v>2</v>
      </c>
      <c r="F77" s="2">
        <v>1.55</v>
      </c>
      <c r="G77" s="2">
        <f t="shared" si="3"/>
        <v>3.1</v>
      </c>
    </row>
    <row r="78" ht="38.4" spans="1:7">
      <c r="A78" s="14" t="s">
        <v>234</v>
      </c>
      <c r="B78" s="16" t="s">
        <v>235</v>
      </c>
      <c r="C78" s="14" t="s">
        <v>236</v>
      </c>
      <c r="D78" s="14" t="s">
        <v>237</v>
      </c>
      <c r="E78" s="2">
        <v>1</v>
      </c>
      <c r="F78" s="2">
        <v>13.55</v>
      </c>
      <c r="G78" s="2">
        <f t="shared" si="3"/>
        <v>13.55</v>
      </c>
    </row>
    <row r="79" ht="38.4" spans="1:7">
      <c r="A79" s="14" t="s">
        <v>238</v>
      </c>
      <c r="B79" s="16" t="s">
        <v>239</v>
      </c>
      <c r="C79" s="14" t="s">
        <v>240</v>
      </c>
      <c r="D79" s="14" t="s">
        <v>241</v>
      </c>
      <c r="E79" s="2">
        <v>2</v>
      </c>
      <c r="F79" s="2">
        <v>2.16</v>
      </c>
      <c r="G79" s="2">
        <f t="shared" si="3"/>
        <v>4.32</v>
      </c>
    </row>
    <row r="80" ht="38.4" spans="1:7">
      <c r="A80" s="14" t="s">
        <v>242</v>
      </c>
      <c r="B80" s="16" t="s">
        <v>243</v>
      </c>
      <c r="C80" s="14" t="s">
        <v>244</v>
      </c>
      <c r="D80" s="14" t="s">
        <v>245</v>
      </c>
      <c r="E80" s="2">
        <v>1</v>
      </c>
      <c r="F80" s="2">
        <v>4.25</v>
      </c>
      <c r="G80" s="2">
        <f t="shared" si="3"/>
        <v>4.25</v>
      </c>
    </row>
    <row r="81" ht="38.4" spans="1:7">
      <c r="A81" s="14" t="s">
        <v>246</v>
      </c>
      <c r="B81" s="16" t="s">
        <v>247</v>
      </c>
      <c r="C81" s="14" t="s">
        <v>248</v>
      </c>
      <c r="D81" s="14" t="s">
        <v>241</v>
      </c>
      <c r="E81" s="2">
        <v>1</v>
      </c>
      <c r="F81" s="2">
        <v>5.35</v>
      </c>
      <c r="G81" s="2">
        <f t="shared" si="3"/>
        <v>5.35</v>
      </c>
    </row>
    <row r="82" ht="38.4" spans="1:7">
      <c r="A82" s="14" t="s">
        <v>249</v>
      </c>
      <c r="B82" s="16" t="s">
        <v>250</v>
      </c>
      <c r="C82" s="14" t="s">
        <v>251</v>
      </c>
      <c r="D82" s="14" t="s">
        <v>252</v>
      </c>
      <c r="E82" s="2">
        <v>1</v>
      </c>
      <c r="F82" s="2">
        <v>1.13</v>
      </c>
      <c r="G82" s="2">
        <f t="shared" si="3"/>
        <v>1.13</v>
      </c>
    </row>
    <row r="83" ht="38.4" spans="1:7">
      <c r="A83" s="14" t="s">
        <v>253</v>
      </c>
      <c r="B83" s="16" t="s">
        <v>254</v>
      </c>
      <c r="C83" s="14" t="s">
        <v>255</v>
      </c>
      <c r="D83" s="14" t="s">
        <v>256</v>
      </c>
      <c r="E83" s="2">
        <v>1</v>
      </c>
      <c r="F83" s="2">
        <v>3.63</v>
      </c>
      <c r="G83" s="2">
        <f t="shared" si="3"/>
        <v>3.63</v>
      </c>
    </row>
    <row r="84" ht="38.4" spans="1:7">
      <c r="A84" s="14" t="s">
        <v>257</v>
      </c>
      <c r="B84" s="16" t="s">
        <v>258</v>
      </c>
      <c r="C84" s="14" t="s">
        <v>259</v>
      </c>
      <c r="D84" s="14" t="s">
        <v>245</v>
      </c>
      <c r="E84" s="2">
        <v>1</v>
      </c>
      <c r="F84" s="2">
        <v>1.59</v>
      </c>
      <c r="G84" s="2">
        <f t="shared" si="3"/>
        <v>1.59</v>
      </c>
    </row>
    <row r="85" ht="20.4" spans="1:7">
      <c r="A85" s="14" t="s">
        <v>260</v>
      </c>
      <c r="B85" s="15" t="s">
        <v>261</v>
      </c>
      <c r="C85" s="14" t="s">
        <v>262</v>
      </c>
      <c r="D85" s="14" t="s">
        <v>256</v>
      </c>
      <c r="E85" s="2">
        <v>1</v>
      </c>
      <c r="F85" s="2">
        <v>0.42</v>
      </c>
      <c r="G85" s="2">
        <f t="shared" si="3"/>
        <v>0.42</v>
      </c>
    </row>
    <row r="86" ht="40.8" spans="1:7">
      <c r="A86" s="2" t="s">
        <v>263</v>
      </c>
      <c r="B86" s="8" t="s">
        <v>264</v>
      </c>
      <c r="C86" s="2" t="s">
        <v>265</v>
      </c>
      <c r="D86" s="2" t="s">
        <v>266</v>
      </c>
      <c r="E86" s="2">
        <v>5</v>
      </c>
      <c r="F86" s="2">
        <v>0.35</v>
      </c>
      <c r="G86" s="2">
        <f t="shared" si="3"/>
        <v>1.75</v>
      </c>
    </row>
    <row r="87" ht="40.8" spans="1:7">
      <c r="A87" s="2" t="s">
        <v>267</v>
      </c>
      <c r="B87" s="8" t="s">
        <v>268</v>
      </c>
      <c r="C87" s="2" t="s">
        <v>265</v>
      </c>
      <c r="D87" s="2" t="s">
        <v>269</v>
      </c>
      <c r="E87" s="2">
        <v>2</v>
      </c>
      <c r="F87" s="2">
        <v>0.7</v>
      </c>
      <c r="G87" s="2">
        <f t="shared" si="3"/>
        <v>1.4</v>
      </c>
    </row>
    <row r="88" ht="40.8" spans="1:7">
      <c r="A88" s="2" t="s">
        <v>270</v>
      </c>
      <c r="B88" s="8" t="s">
        <v>271</v>
      </c>
      <c r="C88" s="2" t="s">
        <v>265</v>
      </c>
      <c r="D88" s="2" t="s">
        <v>272</v>
      </c>
      <c r="E88" s="2">
        <v>4</v>
      </c>
      <c r="F88" s="2">
        <v>0.42</v>
      </c>
      <c r="G88" s="2">
        <f t="shared" si="3"/>
        <v>1.68</v>
      </c>
    </row>
    <row r="89" ht="40.8" spans="1:7">
      <c r="A89" s="2" t="s">
        <v>273</v>
      </c>
      <c r="B89" s="8" t="s">
        <v>274</v>
      </c>
      <c r="C89" s="2" t="s">
        <v>265</v>
      </c>
      <c r="D89" s="2" t="s">
        <v>275</v>
      </c>
      <c r="E89" s="2">
        <v>2</v>
      </c>
      <c r="F89" s="2">
        <v>0.35</v>
      </c>
      <c r="G89" s="2">
        <f t="shared" si="3"/>
        <v>0.7</v>
      </c>
    </row>
    <row r="90" ht="40.8" spans="1:7">
      <c r="A90" s="2" t="s">
        <v>276</v>
      </c>
      <c r="B90" s="8" t="s">
        <v>277</v>
      </c>
      <c r="C90" s="2" t="s">
        <v>265</v>
      </c>
      <c r="D90" s="2" t="s">
        <v>278</v>
      </c>
      <c r="E90" s="2">
        <v>2</v>
      </c>
      <c r="F90" s="2">
        <v>0.4</v>
      </c>
      <c r="G90" s="2">
        <f t="shared" si="3"/>
        <v>0.8</v>
      </c>
    </row>
    <row r="91" ht="40.8" spans="1:7">
      <c r="A91" s="2" t="s">
        <v>279</v>
      </c>
      <c r="B91" s="8" t="s">
        <v>280</v>
      </c>
      <c r="C91" s="2" t="s">
        <v>265</v>
      </c>
      <c r="D91" s="2" t="s">
        <v>281</v>
      </c>
      <c r="E91" s="2">
        <v>1</v>
      </c>
      <c r="F91" s="2">
        <v>0.4</v>
      </c>
      <c r="G91" s="2">
        <f t="shared" si="3"/>
        <v>0.4</v>
      </c>
    </row>
    <row r="92" ht="198.6" spans="1:7">
      <c r="A92" s="2" t="s">
        <v>282</v>
      </c>
      <c r="B92" s="8" t="s">
        <v>283</v>
      </c>
      <c r="C92" s="2" t="s">
        <v>265</v>
      </c>
      <c r="D92" s="2" t="str">
        <f>_xlfn.DISPIMG("ID_9EEC4675E0384743873FEC17D11D36C3",1)</f>
        <v>=DISPIMG("ID_9EEC4675E0384743873FEC17D11D36C3",1)</v>
      </c>
      <c r="E92" s="2">
        <v>1</v>
      </c>
      <c r="F92" s="2">
        <v>70</v>
      </c>
      <c r="G92" s="2">
        <f t="shared" si="3"/>
        <v>70</v>
      </c>
    </row>
    <row r="93" ht="122.4" spans="1:7">
      <c r="A93" s="2" t="s">
        <v>284</v>
      </c>
      <c r="B93" s="8" t="s">
        <v>285</v>
      </c>
      <c r="C93" s="2" t="s">
        <v>265</v>
      </c>
      <c r="D93" s="2" t="str">
        <f>_xlfn.DISPIMG("ID_E8B6F25255D04B3EA6F79DD21AE0765E",1)</f>
        <v>=DISPIMG("ID_E8B6F25255D04B3EA6F79DD21AE0765E",1)</v>
      </c>
      <c r="E93" s="2">
        <v>1</v>
      </c>
      <c r="F93" s="2">
        <v>1.1</v>
      </c>
      <c r="G93" s="2">
        <f t="shared" si="3"/>
        <v>1.1</v>
      </c>
    </row>
    <row r="94" ht="40.8" spans="1:7">
      <c r="A94" s="5" t="s">
        <v>286</v>
      </c>
      <c r="B94" s="8" t="s">
        <v>287</v>
      </c>
      <c r="C94" s="2" t="s">
        <v>288</v>
      </c>
      <c r="D94" s="2"/>
      <c r="E94" s="2">
        <v>1</v>
      </c>
      <c r="F94" s="2">
        <v>60</v>
      </c>
      <c r="G94" s="2">
        <f t="shared" si="3"/>
        <v>60</v>
      </c>
    </row>
    <row r="95" ht="20.4" spans="1:7">
      <c r="A95" s="9" t="s">
        <v>289</v>
      </c>
      <c r="B95" s="10"/>
      <c r="C95" s="10"/>
      <c r="D95" s="10"/>
      <c r="E95" s="10"/>
      <c r="F95" s="10"/>
      <c r="G95" s="11">
        <f>SUM(G2:G94)</f>
        <v>579.06</v>
      </c>
    </row>
    <row r="96" ht="22.2" spans="1:7">
      <c r="A96" s="12" t="s">
        <v>290</v>
      </c>
      <c r="B96" s="12"/>
      <c r="C96" s="12"/>
      <c r="D96" s="12"/>
      <c r="E96" s="12">
        <f>SUM(E2:E94)</f>
        <v>184</v>
      </c>
      <c r="F96" s="12"/>
      <c r="G96" s="12"/>
    </row>
  </sheetData>
  <mergeCells count="3">
    <mergeCell ref="A95:F95"/>
    <mergeCell ref="A96:D96"/>
    <mergeCell ref="E96:G9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XTRBoost-HV GaN-BOM-V1.1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redstoner_35</dc:creator>
  <cp:lastModifiedBy>redstoner_35</cp:lastModifiedBy>
  <dcterms:created xsi:type="dcterms:W3CDTF">2026-07-11T07:42:00Z</dcterms:created>
  <dcterms:modified xsi:type="dcterms:W3CDTF">2026-10-08T01:55:25Z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43E3BEF656E74BFABD1B6C4A2FC25761_11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