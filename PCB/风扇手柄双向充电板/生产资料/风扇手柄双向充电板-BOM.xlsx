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风扇手柄双向充电板\生产资料\"/>
    </mc:Choice>
  </mc:AlternateContent>
  <bookViews>
    <workbookView windowWidth="29868" windowHeight="15420"/>
  </bookViews>
  <sheets>
    <sheet name="风扇手柄双向充电板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<sst xmlns="http://schemas.openxmlformats.org/spreadsheetml/2006/main" count="105" uniqueCount="83">
  <si>
    <r>
      <rPr>
        <sz val="14"/>
        <color rgb="FF000000"/>
        <rFont val="宋体"/>
        <charset val="134"/>
      </rPr>
      <t>料号</t>
    </r>
    <r>
      <rPr>
        <sz val="14"/>
        <color rgb="FF000000"/>
        <rFont val="Segoe UI"/>
        <charset val="134"/>
      </rPr>
      <t>/</t>
    </r>
    <r>
      <rPr>
        <sz val="14"/>
        <color rgb="FF000000"/>
        <rFont val="宋体"/>
        <charset val="134"/>
      </rPr>
      <t>规格</t>
    </r>
  </si>
  <si>
    <t>描述</t>
  </si>
  <si>
    <t>位号</t>
  </si>
  <si>
    <t>封装</t>
  </si>
  <si>
    <t>数量</t>
  </si>
  <si>
    <t>参考图片/备注</t>
  </si>
  <si>
    <t>单价</t>
  </si>
  <si>
    <t>总价</t>
  </si>
  <si>
    <t>GRM21BR61A476ME15L</t>
  </si>
  <si>
    <t>贴片MLCC电容，47uF (476) 20% 10V</t>
  </si>
  <si>
    <t>C1, C6, C7, C8</t>
  </si>
  <si>
    <t>0805_C</t>
  </si>
  <si>
    <t>10uF (106) 20% 10V</t>
  </si>
  <si>
    <t>贴片电容</t>
  </si>
  <si>
    <t>C2, C4, C9</t>
  </si>
  <si>
    <t>0402_C</t>
  </si>
  <si>
    <t>2.2nF (222) 10% 50V</t>
  </si>
  <si>
    <t>C3</t>
  </si>
  <si>
    <t>2.2uF (225) 20% 25V</t>
  </si>
  <si>
    <t>C5</t>
  </si>
  <si>
    <t>CESDB5V0D3</t>
  </si>
  <si>
    <t>5V额定工作电压，6.2V击穿电压
双向TVS管，SOD-323</t>
  </si>
  <si>
    <t>D1</t>
  </si>
  <si>
    <t>SOD-323</t>
  </si>
  <si>
    <t>这个管子必须是双向
TVS，不能用单向的代替！否则电池一装反立刻起火冒烟！</t>
  </si>
  <si>
    <t>绿灯 0603</t>
  </si>
  <si>
    <t>发光二极管</t>
  </si>
  <si>
    <t>D2</t>
  </si>
  <si>
    <t>0603_LED_S1</t>
  </si>
  <si>
    <t>充放电指示灯，
可以用自己喜欢的颜色。</t>
  </si>
  <si>
    <t>黄灯 0603</t>
  </si>
  <si>
    <t>D3</t>
  </si>
  <si>
    <t>CESD5V0D3</t>
  </si>
  <si>
    <t>5V额定工作电压，6.2V击穿电压
单向TVS管，SOD-323</t>
  </si>
  <si>
    <t>D4</t>
  </si>
  <si>
    <t>TYPEC 6P L5.1</t>
  </si>
  <si>
    <t>TYPEC连接器 6P 2脚插板SMT 5.1长度</t>
  </si>
  <si>
    <t>J1</t>
  </si>
  <si>
    <t>TYPEC 6P两脚插板SMT L5.1</t>
  </si>
  <si>
    <t>XAL5030-222MEC</t>
  </si>
  <si>
    <t>线艺XAL5030一体成型电感 9.2A饱和电流，
13.2mΩ DCR 2.2uH±20%</t>
  </si>
  <si>
    <t>L1</t>
  </si>
  <si>
    <t>FEXL0520A-***M</t>
  </si>
  <si>
    <t>XPX80P02RX</t>
  </si>
  <si>
    <t>-20V -80A 4mR内阻 P沟道MOSFET</t>
  </si>
  <si>
    <t>Q1</t>
  </si>
  <si>
    <t>DFN-8_L3.0-W3.0-
P0.65-BL</t>
  </si>
  <si>
    <r>
      <rPr>
        <sz val="14"/>
        <color theme="1"/>
        <rFont val="微软雅黑"/>
        <charset val="134"/>
      </rPr>
      <t>贴牌版AP80P02DF，可以在淘宝买到。如果买不到就</t>
    </r>
    <r>
      <rPr>
        <b/>
        <sz val="14"/>
        <color rgb="FFFF0000"/>
        <rFont val="微软雅黑"/>
        <charset val="134"/>
      </rPr>
      <t>WSD20L70DN33</t>
    </r>
    <r>
      <rPr>
        <sz val="14"/>
        <color theme="1"/>
        <rFont val="微软雅黑"/>
        <charset val="134"/>
      </rPr>
      <t>替代，损耗略高。</t>
    </r>
  </si>
  <si>
    <t>2N7002KW</t>
  </si>
  <si>
    <t>单N沟道MOSFET(场效应管)</t>
  </si>
  <si>
    <t>Q2</t>
  </si>
  <si>
    <t>SC70-3</t>
  </si>
  <si>
    <t>510KΩ (5103) ±1%</t>
  </si>
  <si>
    <t>贴片电阻</t>
  </si>
  <si>
    <t>R1, R2</t>
  </si>
  <si>
    <t>0402_R</t>
  </si>
  <si>
    <t>4.7Ω (4R70) ±1%</t>
  </si>
  <si>
    <t>R3</t>
  </si>
  <si>
    <t>2.2Ω (2R20) ±1%</t>
  </si>
  <si>
    <t>R4</t>
  </si>
  <si>
    <t>1Ω (1R00) ±1%</t>
  </si>
  <si>
    <t>R5</t>
  </si>
  <si>
    <t>0805_R</t>
  </si>
  <si>
    <t>1KΩ (1001) ±1%</t>
  </si>
  <si>
    <t>R6</t>
  </si>
  <si>
    <t>510Ω (5100) ±1%</t>
  </si>
  <si>
    <t>R7, R8</t>
  </si>
  <si>
    <t>75KΩ (7502) ±1%</t>
  </si>
  <si>
    <t>R9</t>
  </si>
  <si>
    <t>CMFD104J3900HANT</t>
  </si>
  <si>
    <t>风华0402贴片NTC热敏电阻 B3900 100K ±5%</t>
  </si>
  <si>
    <t>R10</t>
  </si>
  <si>
    <t>10KΩ (1002) ±1%</t>
  </si>
  <si>
    <t>R11</t>
  </si>
  <si>
    <t>IP5326_BZ</t>
  </si>
  <si>
    <t>集成TYPC-C协议的2.4A 5V充放电移动电源
SoC QFN3*3封装</t>
  </si>
  <si>
    <t>U1</t>
  </si>
  <si>
    <t>QFN33-16L-IP5326</t>
  </si>
  <si>
    <t>Cu_1AU_D9.0_H1.0</t>
  </si>
  <si>
    <t>中通达SMT镀金圆形铜片，直径9.0mm，厚度1.0mm，镀金厚度1U</t>
  </si>
  <si>
    <t>N/A</t>
  </si>
  <si>
    <t>风扇双向充电板物料总价</t>
  </si>
  <si>
    <t>风扇双向充电板元器件总数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</si>
</sst>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6"/>
      <color theme="1"/>
      <name val="宋体"/>
      <charset val="134"/>
      <scheme val="minor"/>
    </font>
    <font>
      <sz val="14"/>
      <color rgb="FF000000"/>
      <name val="Segoe UI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2" fillId="3" borderId="1" xfId="0" applyFont="1" applyFill="1" applyBorder="1" quotePrefix="1">
      <alignment vertical="center"/>
    </xf>
    <xf numFmtId="0" fontId="2" fillId="3" borderId="1" xfId="0" applyFont="1" applyFill="1" applyBorder="1" applyAlignment="1" quotePrefix="1">
      <alignment vertical="center" wrapText="1"/>
    </xf>
    <xf numFmtId="0" fontId="2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18415</xdr:colOff>
      <xdr:row>9</xdr:row>
      <xdr:rowOff>15240</xdr:rowOff>
    </xdr:from>
    <xdr:to>
      <xdr:col>5</xdr:col>
      <xdr:colOff>1840865</xdr:colOff>
      <xdr:row>9</xdr:row>
      <xdr:rowOff>1684020</xdr:rowOff>
    </xdr:to>
    <xdr:pic>
      <xdr:nvPicPr>
        <xdr:cNvPr id="4" name="ID_D305F6A3ADB84A0C9EAD1B450568569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3515" y="3200400"/>
          <a:ext cx="1822450" cy="166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22860</xdr:colOff>
      <xdr:row>23</xdr:row>
      <xdr:rowOff>15240</xdr:rowOff>
    </xdr:from>
    <xdr:to>
      <xdr:col>5</xdr:col>
      <xdr:colOff>1835785</xdr:colOff>
      <xdr:row>23</xdr:row>
      <xdr:rowOff>1744980</xdr:rowOff>
    </xdr:to>
    <xdr:pic>
      <xdr:nvPicPr>
        <xdr:cNvPr id="5" name="ID_22A8A04A2FBA4D8F8EE41B312888790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47960" y="9545955"/>
          <a:ext cx="1812925" cy="1729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B12" sqref="B12"/>
    </sheetView>
  </sheetViews>
  <sheetFormatPr defaultColWidth="8.88888888888889" defaultRowHeight="14.4" outlineLevelCol="7"/>
  <cols>
    <col min="1" max="1" width="30.7777777777778" customWidth="1"/>
    <col min="2" max="2" width="55.6666666666667" customWidth="1"/>
    <col min="3" max="3" width="18.4444444444444" customWidth="1"/>
    <col min="4" max="4" width="34.1111111111111" customWidth="1"/>
    <col min="5" max="5" width="11.5555555555556" customWidth="1"/>
    <col min="6" max="6" width="27" customWidth="1"/>
    <col min="7" max="7" width="9.11111111111111"/>
  </cols>
  <sheetData>
    <row r="1" ht="20.4" spans="1:8">
      <c r="A1" s="16" t="s">
        <v>0</v>
      </c>
      <c r="B1" s="1" t="s">
        <v>1</v>
      </c>
      <c r="C1" s="16" t="s">
        <v>2</v>
      </c>
      <c r="D1" s="16" t="s">
        <v>3</v>
      </c>
      <c r="E1" s="16" t="s">
        <v>4</v>
      </c>
      <c r="F1" s="1" t="s">
        <v>5</v>
      </c>
      <c r="G1" s="1" t="s">
        <v>6</v>
      </c>
      <c r="H1" s="1" t="s">
        <v>7</v>
      </c>
    </row>
    <row r="2" ht="19.2" spans="1:8">
      <c r="A2" s="17" t="s">
        <v>8</v>
      </c>
      <c r="B2" s="17" t="s">
        <v>9</v>
      </c>
      <c r="C2" s="17" t="s">
        <v>10</v>
      </c>
      <c r="D2" s="17" t="s">
        <v>11</v>
      </c>
      <c r="E2" s="2">
        <v>4</v>
      </c>
      <c r="F2" s="3"/>
      <c r="G2" s="3">
        <v>2.7</v>
      </c>
      <c r="H2" s="3">
        <f>G2*E2</f>
        <v>10.8</v>
      </c>
    </row>
    <row r="3" ht="19.2" spans="1:8">
      <c r="A3" s="17" t="s">
        <v>12</v>
      </c>
      <c r="B3" s="17" t="s">
        <v>13</v>
      </c>
      <c r="C3" s="17" t="s">
        <v>14</v>
      </c>
      <c r="D3" s="17" t="s">
        <v>15</v>
      </c>
      <c r="E3" s="2">
        <v>3</v>
      </c>
      <c r="F3" s="3"/>
      <c r="G3" s="3">
        <v>0.1</v>
      </c>
      <c r="H3" s="3">
        <f t="shared" ref="H3:H23" si="0">G3*E3</f>
        <v>0.3</v>
      </c>
    </row>
    <row r="4" ht="19.2" spans="1:8">
      <c r="A4" s="17" t="s">
        <v>16</v>
      </c>
      <c r="B4" s="17" t="s">
        <v>13</v>
      </c>
      <c r="C4" s="17" t="s">
        <v>17</v>
      </c>
      <c r="D4" s="17" t="s">
        <v>15</v>
      </c>
      <c r="E4" s="2">
        <v>1</v>
      </c>
      <c r="F4" s="3"/>
      <c r="G4" s="3">
        <v>0.08</v>
      </c>
      <c r="H4" s="3">
        <f t="shared" si="0"/>
        <v>0.08</v>
      </c>
    </row>
    <row r="5" ht="19.2" spans="1:8">
      <c r="A5" s="17" t="s">
        <v>18</v>
      </c>
      <c r="B5" s="17" t="s">
        <v>13</v>
      </c>
      <c r="C5" s="17" t="s">
        <v>19</v>
      </c>
      <c r="D5" s="17" t="s">
        <v>15</v>
      </c>
      <c r="E5" s="2">
        <v>1</v>
      </c>
      <c r="F5" s="3"/>
      <c r="G5" s="3">
        <v>0.08</v>
      </c>
      <c r="H5" s="3">
        <f t="shared" si="0"/>
        <v>0.08</v>
      </c>
    </row>
    <row r="6" ht="76.8" spans="1:8">
      <c r="A6" s="18" t="s">
        <v>20</v>
      </c>
      <c r="B6" s="19" t="s">
        <v>21</v>
      </c>
      <c r="C6" s="18" t="s">
        <v>22</v>
      </c>
      <c r="D6" s="18" t="s">
        <v>23</v>
      </c>
      <c r="E6" s="4">
        <v>1</v>
      </c>
      <c r="F6" s="6" t="s">
        <v>24</v>
      </c>
      <c r="G6" s="7">
        <v>0.16</v>
      </c>
      <c r="H6" s="7">
        <f t="shared" si="0"/>
        <v>0.16</v>
      </c>
    </row>
    <row r="7" ht="19.2" spans="1:8">
      <c r="A7" s="17" t="s">
        <v>25</v>
      </c>
      <c r="B7" s="17" t="s">
        <v>26</v>
      </c>
      <c r="C7" s="17" t="s">
        <v>27</v>
      </c>
      <c r="D7" s="17" t="s">
        <v>28</v>
      </c>
      <c r="E7" s="2">
        <v>1</v>
      </c>
      <c r="F7" s="8" t="s">
        <v>29</v>
      </c>
      <c r="G7" s="3">
        <v>0.02</v>
      </c>
      <c r="H7" s="3">
        <f t="shared" si="0"/>
        <v>0.02</v>
      </c>
    </row>
    <row r="8" ht="19.2" spans="1:8">
      <c r="A8" s="17" t="s">
        <v>30</v>
      </c>
      <c r="B8" s="17" t="s">
        <v>26</v>
      </c>
      <c r="C8" s="17" t="s">
        <v>31</v>
      </c>
      <c r="D8" s="17" t="s">
        <v>28</v>
      </c>
      <c r="E8" s="2">
        <v>1</v>
      </c>
      <c r="F8" s="9"/>
      <c r="G8" s="3">
        <v>0.02</v>
      </c>
      <c r="H8" s="3">
        <f t="shared" si="0"/>
        <v>0.02</v>
      </c>
    </row>
    <row r="9" ht="38.4" spans="1:8">
      <c r="A9" s="17" t="s">
        <v>32</v>
      </c>
      <c r="B9" s="20" t="s">
        <v>33</v>
      </c>
      <c r="C9" s="17" t="s">
        <v>34</v>
      </c>
      <c r="D9" s="17" t="s">
        <v>23</v>
      </c>
      <c r="E9" s="2">
        <v>1</v>
      </c>
      <c r="F9" s="3"/>
      <c r="G9" s="3">
        <v>0.16</v>
      </c>
      <c r="H9" s="3">
        <f t="shared" si="0"/>
        <v>0.16</v>
      </c>
    </row>
    <row r="10" ht="133.65" customHeight="1" spans="1:8">
      <c r="A10" s="17" t="s">
        <v>35</v>
      </c>
      <c r="B10" s="17" t="s">
        <v>36</v>
      </c>
      <c r="C10" s="17" t="s">
        <v>37</v>
      </c>
      <c r="D10" s="17" t="s">
        <v>38</v>
      </c>
      <c r="E10" s="2">
        <v>1</v>
      </c>
      <c r="F10" s="3"/>
      <c r="G10" s="3">
        <v>0.1</v>
      </c>
      <c r="H10" s="3">
        <f t="shared" si="0"/>
        <v>0.1</v>
      </c>
    </row>
    <row r="11" ht="38.4" spans="1:8">
      <c r="A11" s="17" t="s">
        <v>39</v>
      </c>
      <c r="B11" s="20" t="s">
        <v>40</v>
      </c>
      <c r="C11" s="17" t="s">
        <v>41</v>
      </c>
      <c r="D11" s="17" t="s">
        <v>42</v>
      </c>
      <c r="E11" s="2">
        <v>1</v>
      </c>
      <c r="F11" s="3"/>
      <c r="G11" s="3">
        <v>5</v>
      </c>
      <c r="H11" s="3">
        <f t="shared" si="0"/>
        <v>5</v>
      </c>
    </row>
    <row r="12" ht="97.2" spans="1:8">
      <c r="A12" s="17" t="s">
        <v>43</v>
      </c>
      <c r="B12" s="17" t="s">
        <v>44</v>
      </c>
      <c r="C12" s="17" t="s">
        <v>45</v>
      </c>
      <c r="D12" s="20" t="s">
        <v>46</v>
      </c>
      <c r="E12" s="2">
        <v>1</v>
      </c>
      <c r="F12" s="11" t="s">
        <v>47</v>
      </c>
      <c r="G12" s="3">
        <v>0.75</v>
      </c>
      <c r="H12" s="3">
        <f t="shared" si="0"/>
        <v>0.75</v>
      </c>
    </row>
    <row r="13" ht="19.2" spans="1:8">
      <c r="A13" s="17" t="s">
        <v>48</v>
      </c>
      <c r="B13" s="17" t="s">
        <v>49</v>
      </c>
      <c r="C13" s="17" t="s">
        <v>50</v>
      </c>
      <c r="D13" s="17" t="s">
        <v>51</v>
      </c>
      <c r="E13" s="2">
        <v>1</v>
      </c>
      <c r="F13" s="3"/>
      <c r="G13" s="3">
        <v>0.19</v>
      </c>
      <c r="H13" s="3">
        <f t="shared" si="0"/>
        <v>0.19</v>
      </c>
    </row>
    <row r="14" ht="19.2" spans="1:8">
      <c r="A14" s="17" t="s">
        <v>52</v>
      </c>
      <c r="B14" s="17" t="s">
        <v>53</v>
      </c>
      <c r="C14" s="17" t="s">
        <v>54</v>
      </c>
      <c r="D14" s="17" t="s">
        <v>55</v>
      </c>
      <c r="E14" s="2">
        <v>2</v>
      </c>
      <c r="F14" s="3"/>
      <c r="G14" s="3">
        <v>0.03</v>
      </c>
      <c r="H14" s="3">
        <f t="shared" si="0"/>
        <v>0.06</v>
      </c>
    </row>
    <row r="15" ht="19.2" spans="1:8">
      <c r="A15" s="17" t="s">
        <v>56</v>
      </c>
      <c r="B15" s="17" t="s">
        <v>53</v>
      </c>
      <c r="C15" s="17" t="s">
        <v>57</v>
      </c>
      <c r="D15" s="17" t="s">
        <v>55</v>
      </c>
      <c r="E15" s="2">
        <v>1</v>
      </c>
      <c r="F15" s="3"/>
      <c r="G15" s="3">
        <v>0.03</v>
      </c>
      <c r="H15" s="3">
        <f t="shared" si="0"/>
        <v>0.03</v>
      </c>
    </row>
    <row r="16" ht="19.2" spans="1:8">
      <c r="A16" s="17" t="s">
        <v>58</v>
      </c>
      <c r="B16" s="17" t="s">
        <v>53</v>
      </c>
      <c r="C16" s="17" t="s">
        <v>59</v>
      </c>
      <c r="D16" s="17" t="s">
        <v>55</v>
      </c>
      <c r="E16" s="2">
        <v>1</v>
      </c>
      <c r="F16" s="3"/>
      <c r="G16" s="3">
        <v>0.03</v>
      </c>
      <c r="H16" s="3">
        <f t="shared" si="0"/>
        <v>0.03</v>
      </c>
    </row>
    <row r="17" ht="19.2" spans="1:8">
      <c r="A17" s="17" t="s">
        <v>60</v>
      </c>
      <c r="B17" s="17" t="s">
        <v>53</v>
      </c>
      <c r="C17" s="17" t="s">
        <v>61</v>
      </c>
      <c r="D17" s="17" t="s">
        <v>62</v>
      </c>
      <c r="E17" s="2">
        <v>1</v>
      </c>
      <c r="F17" s="3"/>
      <c r="G17" s="3">
        <v>0.1</v>
      </c>
      <c r="H17" s="3">
        <f t="shared" si="0"/>
        <v>0.1</v>
      </c>
    </row>
    <row r="18" ht="19.2" spans="1:8">
      <c r="A18" s="17" t="s">
        <v>63</v>
      </c>
      <c r="B18" s="17" t="s">
        <v>53</v>
      </c>
      <c r="C18" s="17" t="s">
        <v>64</v>
      </c>
      <c r="D18" s="17" t="s">
        <v>55</v>
      </c>
      <c r="E18" s="2">
        <v>1</v>
      </c>
      <c r="F18" s="3"/>
      <c r="G18" s="3">
        <v>0.03</v>
      </c>
      <c r="H18" s="3">
        <f t="shared" si="0"/>
        <v>0.03</v>
      </c>
    </row>
    <row r="19" ht="19.2" spans="1:8">
      <c r="A19" s="17" t="s">
        <v>65</v>
      </c>
      <c r="B19" s="17" t="s">
        <v>53</v>
      </c>
      <c r="C19" s="17" t="s">
        <v>66</v>
      </c>
      <c r="D19" s="17" t="s">
        <v>55</v>
      </c>
      <c r="E19" s="2">
        <v>2</v>
      </c>
      <c r="F19" s="3"/>
      <c r="G19" s="3">
        <v>0.03</v>
      </c>
      <c r="H19" s="3">
        <f t="shared" si="0"/>
        <v>0.06</v>
      </c>
    </row>
    <row r="20" ht="19.2" spans="1:8">
      <c r="A20" s="17" t="s">
        <v>67</v>
      </c>
      <c r="B20" s="17" t="s">
        <v>53</v>
      </c>
      <c r="C20" s="17" t="s">
        <v>68</v>
      </c>
      <c r="D20" s="17" t="s">
        <v>55</v>
      </c>
      <c r="E20" s="2">
        <v>1</v>
      </c>
      <c r="F20" s="3"/>
      <c r="G20" s="3">
        <v>0.03</v>
      </c>
      <c r="H20" s="3">
        <f t="shared" si="0"/>
        <v>0.03</v>
      </c>
    </row>
    <row r="21" ht="19.2" spans="1:8">
      <c r="A21" s="17" t="s">
        <v>69</v>
      </c>
      <c r="B21" s="17" t="s">
        <v>70</v>
      </c>
      <c r="C21" s="17" t="s">
        <v>71</v>
      </c>
      <c r="D21" s="17" t="s">
        <v>55</v>
      </c>
      <c r="E21" s="2">
        <v>1</v>
      </c>
      <c r="F21" s="3"/>
      <c r="G21" s="3">
        <v>0.03</v>
      </c>
      <c r="H21" s="3">
        <f t="shared" si="0"/>
        <v>0.03</v>
      </c>
    </row>
    <row r="22" ht="19.2" spans="1:8">
      <c r="A22" s="17" t="s">
        <v>72</v>
      </c>
      <c r="B22" s="17" t="s">
        <v>53</v>
      </c>
      <c r="C22" s="17" t="s">
        <v>73</v>
      </c>
      <c r="D22" s="17" t="s">
        <v>55</v>
      </c>
      <c r="E22" s="2">
        <v>1</v>
      </c>
      <c r="F22" s="3"/>
      <c r="G22" s="3">
        <v>0.03</v>
      </c>
      <c r="H22" s="3">
        <f t="shared" si="0"/>
        <v>0.03</v>
      </c>
    </row>
    <row r="23" ht="38.4" spans="1:8">
      <c r="A23" s="17" t="s">
        <v>74</v>
      </c>
      <c r="B23" s="20" t="s">
        <v>75</v>
      </c>
      <c r="C23" s="17" t="s">
        <v>76</v>
      </c>
      <c r="D23" s="17" t="s">
        <v>77</v>
      </c>
      <c r="E23" s="2">
        <v>1</v>
      </c>
      <c r="F23" s="3"/>
      <c r="G23" s="3">
        <v>1</v>
      </c>
      <c r="H23" s="3">
        <f t="shared" si="0"/>
        <v>1</v>
      </c>
    </row>
    <row r="24" ht="138" customHeight="1" spans="1:8">
      <c r="A24" s="10" t="s">
        <v>78</v>
      </c>
      <c r="B24" s="10" t="s">
        <v>79</v>
      </c>
      <c r="C24" s="10" t="s">
        <v>80</v>
      </c>
      <c r="D24" s="10" t="s">
        <v>78</v>
      </c>
      <c r="E24" s="10">
        <v>2</v>
      </c>
      <c r="F24" s="10"/>
      <c r="G24" s="10">
        <v>0.78</v>
      </c>
      <c r="H24" s="10">
        <f>E24*G24</f>
        <v>1.56</v>
      </c>
    </row>
    <row r="25" ht="20.4" spans="1:8">
      <c r="A25" s="12" t="s">
        <v>81</v>
      </c>
      <c r="B25" s="13"/>
      <c r="C25" s="13"/>
      <c r="D25" s="13"/>
      <c r="E25" s="13"/>
      <c r="F25" s="13"/>
      <c r="G25" s="14">
        <f>SUM(H2:H24)</f>
        <v>20.62</v>
      </c>
      <c r="H25" s="14"/>
    </row>
    <row r="26" ht="22.2" spans="1:8">
      <c r="A26" s="15" t="s">
        <v>82</v>
      </c>
      <c r="B26" s="15"/>
      <c r="C26" s="15"/>
      <c r="D26" s="15"/>
      <c r="E26" s="15">
        <f>SUM(E2:E24)</f>
        <v>31</v>
      </c>
      <c r="F26" s="15"/>
      <c r="G26" s="15"/>
      <c r="H26" s="15"/>
    </row>
  </sheetData>
  <mergeCells count="5">
    <mergeCell ref="A25:F25"/>
    <mergeCell ref="G25:H25"/>
    <mergeCell ref="A26:D26"/>
    <mergeCell ref="E26:H26"/>
    <mergeCell ref="F7:F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风扇手柄双向充电板-BOM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2026-08-21T06:12:00Z</dcterms:created>
  <dcterms:modified xsi:type="dcterms:W3CDTF">2026-08-21T06:27:45Z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97AF4A90E7AC42798BA44919532FE50B_11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